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urs M1\OD\donnees\"/>
    </mc:Choice>
  </mc:AlternateContent>
  <xr:revisionPtr revIDLastSave="0" documentId="13_ncr:1_{C858E896-079D-4C80-98FB-89171A46DCD4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txc" sheetId="1" r:id="rId1"/>
    <sheet name="Nbd" sheetId="3" r:id="rId2"/>
    <sheet name="Gini" sheetId="7" r:id="rId3"/>
    <sheet name="PIB" sheetId="4" r:id="rId4"/>
    <sheet name="Inf" sheetId="5" r:id="rId5"/>
    <sheet name="Menu" sheetId="6" r:id="rId6"/>
  </sheets>
  <calcPr calcId="191029"/>
</workbook>
</file>

<file path=xl/calcChain.xml><?xml version="1.0" encoding="utf-8"?>
<calcChain xmlns="http://schemas.openxmlformats.org/spreadsheetml/2006/main">
  <c r="L1" i="4" l="1" a="1"/>
  <c r="L1" i="4" s="1"/>
  <c r="L1" i="5" a="1"/>
  <c r="L1" i="5" s="1"/>
  <c r="L1" i="3" a="1"/>
  <c r="L1" i="3" s="1"/>
  <c r="L1" i="7" l="1" a="1"/>
  <c r="L1" i="7" s="1"/>
  <c r="L1" i="1" a="1"/>
  <c r="L1" i="1" s="1"/>
  <c r="B12" i="5" l="1"/>
  <c r="C12" i="5"/>
  <c r="D12" i="5"/>
  <c r="E12" i="5"/>
  <c r="F12" i="5"/>
  <c r="G12" i="5"/>
  <c r="H12" i="5"/>
  <c r="I12" i="5"/>
  <c r="J12" i="5"/>
  <c r="K12" i="5"/>
  <c r="L12" i="5"/>
  <c r="B13" i="5"/>
  <c r="C13" i="5"/>
  <c r="D13" i="5"/>
  <c r="E13" i="5"/>
  <c r="F13" i="5"/>
  <c r="G13" i="5"/>
  <c r="H13" i="5"/>
  <c r="I13" i="5"/>
  <c r="J13" i="5"/>
  <c r="K13" i="5"/>
  <c r="L13" i="5"/>
  <c r="B14" i="5"/>
  <c r="C14" i="5"/>
  <c r="D14" i="5"/>
  <c r="E14" i="5"/>
  <c r="F14" i="5"/>
  <c r="G14" i="5"/>
  <c r="H14" i="5"/>
  <c r="I14" i="5"/>
  <c r="J14" i="5"/>
  <c r="K14" i="5"/>
  <c r="L14" i="5"/>
  <c r="B15" i="5"/>
  <c r="C15" i="5"/>
  <c r="D15" i="5"/>
  <c r="E15" i="5"/>
  <c r="F15" i="5"/>
  <c r="G15" i="5"/>
  <c r="H15" i="5"/>
  <c r="I15" i="5"/>
  <c r="J15" i="5"/>
  <c r="K15" i="5"/>
  <c r="L15" i="5"/>
  <c r="B16" i="5"/>
  <c r="C16" i="5"/>
  <c r="D16" i="5"/>
  <c r="E16" i="5"/>
  <c r="F16" i="5"/>
  <c r="G16" i="5"/>
  <c r="H16" i="5"/>
  <c r="I16" i="5"/>
  <c r="J16" i="5"/>
  <c r="K16" i="5"/>
  <c r="L16" i="5"/>
  <c r="C11" i="5"/>
  <c r="D11" i="5"/>
  <c r="E11" i="5"/>
  <c r="F11" i="5"/>
  <c r="G11" i="5"/>
  <c r="H11" i="5"/>
  <c r="I11" i="5"/>
  <c r="J11" i="5"/>
  <c r="K11" i="5"/>
  <c r="L11" i="5"/>
  <c r="B11" i="5"/>
</calcChain>
</file>

<file path=xl/sharedStrings.xml><?xml version="1.0" encoding="utf-8"?>
<sst xmlns="http://schemas.openxmlformats.org/spreadsheetml/2006/main" count="589" uniqueCount="74">
  <si>
    <t>Données extraites le21/11/2020 09:39:57 depuis [ESTAT]</t>
  </si>
  <si>
    <t xml:space="preserve">Dataset: </t>
  </si>
  <si>
    <t>Dernière mise à jour:</t>
  </si>
  <si>
    <t>07/10/2020 23:00</t>
  </si>
  <si>
    <t>Fréquence (relative au temps)</t>
  </si>
  <si>
    <t>Annuel</t>
  </si>
  <si>
    <t>Classe d'âge</t>
  </si>
  <si>
    <t>De 15 à 74 ans</t>
  </si>
  <si>
    <t>Unité de mesure</t>
  </si>
  <si>
    <t>Pourcentage de la population active</t>
  </si>
  <si>
    <t>Sexe</t>
  </si>
  <si>
    <t>Total</t>
  </si>
  <si>
    <t>TIME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</si>
  <si>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</si>
  <si>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</si>
  <si>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</si>
  <si>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</si>
  <si>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</si>
  <si>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</si>
  <si>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</si>
  <si>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</si>
  <si>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</si>
  <si>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</si>
  <si>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</si>
  <si>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GEO (Libellés)</t>
  </si>
  <si>
    <t/>
  </si>
  <si>
    <t>Allemagne (jusqu'en 1990, ancien territoire de la RFA)</t>
  </si>
  <si>
    <t>Grèce</t>
  </si>
  <si>
    <t>Espagne</t>
  </si>
  <si>
    <t>France</t>
  </si>
  <si>
    <t>Autriche</t>
  </si>
  <si>
    <t>Portugal</t>
  </si>
  <si>
    <t>Valeur spéciale</t>
  </si>
  <si>
    <t>:</t>
  </si>
  <si>
    <t>Non disponible</t>
  </si>
  <si>
    <t>18/11/2020 23:00</t>
  </si>
  <si>
    <t>Données extraites le21/11/2020 14:28:26 depuis [ESTAT]</t>
  </si>
  <si>
    <t>10/07/2020 11:00</t>
  </si>
  <si>
    <t>Indicateurs sur la criminalité et la justice pénale</t>
  </si>
  <si>
    <t>Nombre réel de personnes retenues en prison</t>
  </si>
  <si>
    <t>Par centaine de milliers d'habitants</t>
  </si>
  <si>
    <t>Données extraites le21/11/2020 14:45:24 depuis [ESTAT]</t>
  </si>
  <si>
    <t>17/11/2020 23:00</t>
  </si>
  <si>
    <t>Volumes chaînés (2010), euros par personne</t>
  </si>
  <si>
    <t>Indicateur des comptes nationaux (SEC 2010)</t>
  </si>
  <si>
    <t>Produit intérieur brut aux prix du marché</t>
  </si>
  <si>
    <t>Données extraites le21/11/2020 14:48:25 depuis [ESTAT]</t>
  </si>
  <si>
    <t>Indicateur sur le revenus et les conditions de vie</t>
  </si>
  <si>
    <t>Coefficient de Gini (échelle de 0 à 100)</t>
  </si>
  <si>
    <t>Données extraites le21/11/2020 15:16:01 depuis [ESTAT]</t>
  </si>
  <si>
    <t>Infractions enregistrées par type d'infraction - données policières [CRIM_OFF_CAT__custom_243456]</t>
  </si>
  <si>
    <t>20/07/2020 23:00</t>
  </si>
  <si>
    <t>Classification intrenational du crime à des fins statistiques (ICCS)</t>
  </si>
  <si>
    <t>Homicide intentionnel</t>
  </si>
  <si>
    <t>Agression</t>
  </si>
  <si>
    <t>Enlèvement</t>
  </si>
  <si>
    <t>Infractions totales</t>
  </si>
  <si>
    <t>Violence sexuelle</t>
  </si>
  <si>
    <t>Vol qualifié</t>
  </si>
  <si>
    <t>Cambriolage</t>
  </si>
  <si>
    <t>Vol</t>
  </si>
  <si>
    <t>Actes illicites faisant intervenir des drogues contrôlées ou des précurseurs</t>
  </si>
  <si>
    <t>Etape 1 :</t>
  </si>
  <si>
    <t>Générer les courbes</t>
  </si>
  <si>
    <t>Etape 2 :</t>
  </si>
  <si>
    <t>Cliquer sur le graphique puis sur le bouton correspondant</t>
  </si>
  <si>
    <t>Taux de chômage total</t>
  </si>
  <si>
    <t>Allemagne</t>
  </si>
  <si>
    <t>Coefficient de Gini du revenu disponible équivalent</t>
  </si>
  <si>
    <t>Année</t>
  </si>
  <si>
    <t>PIB réel par habitant</t>
  </si>
  <si>
    <t>Nombre d'infractions enregistrées</t>
  </si>
  <si>
    <t>Nombre de personnes détenues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</si>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</sst>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########"/>
    <numFmt numFmtId="165" formatCode="#,##0.0000000000"/>
  </numFmts>
  <fonts count="10" x14ac:knownFonts="1">
    <font>
      <sz val="11"/>
      <color indexed="8"/>
      <name val="Calibri"/>
      <family val="2"/>
      <scheme val="minor"/>
    </font>
    <font>
      <b/>
      <sz val="9"/>
      <name val="Arial"/>
    </font>
    <font>
      <sz val="9"/>
      <name val="Arial"/>
    </font>
    <font>
      <b/>
      <sz val="9"/>
      <color indexed="9"/>
      <name val="Arial"/>
    </font>
    <font>
      <sz val="11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9"/>
      <name val="Arial"/>
      <family val="2"/>
    </font>
    <font>
      <sz val="11"/>
      <color rgb="FF177245"/>
      <name val="Courier New"/>
      <family val="3"/>
    </font>
    <font>
      <b/>
      <sz val="16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669AF"/>
      </patternFill>
    </fill>
    <fill>
      <patternFill patternType="solid">
        <fgColor rgb="FF0096DC"/>
      </patternFill>
    </fill>
    <fill>
      <patternFill patternType="solid">
        <fgColor rgb="FFDCE6F1"/>
      </patternFill>
    </fill>
    <fill>
      <patternFill patternType="mediumGray">
        <bgColor indexed="22"/>
      </patternFill>
    </fill>
    <fill>
      <patternFill patternType="solid">
        <fgColor rgb="FFF6F6F6"/>
      </patternFill>
    </fill>
  </fills>
  <borders count="1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medium">
        <color indexed="64"/>
      </right>
      <top style="thin">
        <color rgb="FFB0B0B0"/>
      </top>
      <bottom style="thin">
        <color rgb="FFB0B0B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5" borderId="0" xfId="0" applyFill="1"/>
    <xf numFmtId="3" fontId="2" fillId="0" borderId="0" xfId="0" applyNumberFormat="1" applyFont="1" applyAlignment="1">
      <alignment horizontal="right" vertical="center" shrinkToFit="1"/>
    </xf>
    <xf numFmtId="3" fontId="2" fillId="6" borderId="0" xfId="0" applyNumberFormat="1" applyFont="1" applyFill="1" applyAlignment="1">
      <alignment horizontal="right" vertical="center" shrinkToFit="1"/>
    </xf>
    <xf numFmtId="164" fontId="2" fillId="0" borderId="0" xfId="0" applyNumberFormat="1" applyFont="1" applyAlignment="1">
      <alignment horizontal="right" vertical="center" shrinkToFit="1"/>
    </xf>
    <xf numFmtId="164" fontId="2" fillId="6" borderId="0" xfId="0" applyNumberFormat="1" applyFont="1" applyFill="1" applyAlignment="1">
      <alignment horizontal="right" vertical="center" shrinkToFit="1"/>
    </xf>
    <xf numFmtId="0" fontId="6" fillId="0" borderId="2" xfId="0" applyFont="1" applyBorder="1" applyAlignment="1">
      <alignment horizontal="left" vertical="center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164" fontId="6" fillId="0" borderId="0" xfId="0" applyNumberFormat="1" applyFont="1" applyAlignment="1">
      <alignment horizontal="right" vertical="center" shrinkToFit="1"/>
    </xf>
    <xf numFmtId="164" fontId="6" fillId="6" borderId="0" xfId="0" applyNumberFormat="1" applyFont="1" applyFill="1" applyAlignment="1">
      <alignment horizontal="right" vertical="center" shrinkToFit="1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3" fontId="6" fillId="0" borderId="0" xfId="0" applyNumberFormat="1" applyFont="1" applyAlignment="1">
      <alignment horizontal="right" vertical="center" shrinkToFit="1"/>
    </xf>
    <xf numFmtId="3" fontId="6" fillId="6" borderId="0" xfId="0" applyNumberFormat="1" applyFont="1" applyFill="1" applyAlignment="1">
      <alignment horizontal="right" vertical="center" shrinkToFit="1"/>
    </xf>
    <xf numFmtId="0" fontId="0" fillId="0" borderId="0" xfId="0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0" fillId="5" borderId="0" xfId="0" applyFill="1"/>
    <xf numFmtId="3" fontId="6" fillId="0" borderId="0" xfId="0" applyNumberFormat="1" applyFont="1" applyAlignment="1">
      <alignment horizontal="right" vertical="center" shrinkToFit="1"/>
    </xf>
    <xf numFmtId="3" fontId="6" fillId="6" borderId="0" xfId="0" applyNumberFormat="1" applyFont="1" applyFill="1" applyAlignment="1">
      <alignment horizontal="right" vertical="center" shrinkToFit="1"/>
    </xf>
    <xf numFmtId="164" fontId="6" fillId="0" borderId="0" xfId="0" applyNumberFormat="1" applyFont="1" applyAlignment="1">
      <alignment horizontal="right" vertical="center" shrinkToFit="1"/>
    </xf>
    <xf numFmtId="164" fontId="6" fillId="6" borderId="0" xfId="0" applyNumberFormat="1" applyFont="1" applyFill="1" applyAlignment="1">
      <alignment horizontal="right" vertical="center" shrinkToFit="1"/>
    </xf>
    <xf numFmtId="0" fontId="0" fillId="0" borderId="3" xfId="0" applyBorder="1"/>
    <xf numFmtId="0" fontId="0" fillId="0" borderId="4" xfId="0" applyBorder="1"/>
    <xf numFmtId="0" fontId="6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0" fillId="0" borderId="0" xfId="0" applyBorder="1"/>
    <xf numFmtId="0" fontId="0" fillId="0" borderId="6" xfId="0" applyBorder="1"/>
    <xf numFmtId="0" fontId="6" fillId="0" borderId="0" xfId="0" applyFont="1" applyBorder="1" applyAlignment="1">
      <alignment horizontal="left" vertical="center"/>
    </xf>
    <xf numFmtId="0" fontId="0" fillId="0" borderId="5" xfId="0" applyBorder="1"/>
    <xf numFmtId="0" fontId="5" fillId="0" borderId="5" xfId="0" applyFont="1" applyBorder="1" applyAlignment="1">
      <alignment horizontal="left" vertical="center"/>
    </xf>
    <xf numFmtId="0" fontId="7" fillId="2" borderId="7" xfId="0" applyFont="1" applyFill="1" applyBorder="1" applyAlignment="1">
      <alignment horizontal="right" vertical="center"/>
    </xf>
    <xf numFmtId="0" fontId="7" fillId="2" borderId="8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6" xfId="0" applyFill="1" applyBorder="1"/>
    <xf numFmtId="0" fontId="5" fillId="4" borderId="7" xfId="0" applyFont="1" applyFill="1" applyBorder="1" applyAlignment="1">
      <alignment horizontal="left" vertical="center"/>
    </xf>
    <xf numFmtId="164" fontId="6" fillId="0" borderId="0" xfId="0" applyNumberFormat="1" applyFont="1" applyBorder="1" applyAlignment="1">
      <alignment horizontal="right" vertical="center" shrinkToFit="1"/>
    </xf>
    <xf numFmtId="164" fontId="6" fillId="0" borderId="6" xfId="0" applyNumberFormat="1" applyFont="1" applyBorder="1" applyAlignment="1">
      <alignment horizontal="right" vertical="center" shrinkToFit="1"/>
    </xf>
    <xf numFmtId="164" fontId="6" fillId="6" borderId="0" xfId="0" applyNumberFormat="1" applyFont="1" applyFill="1" applyBorder="1" applyAlignment="1">
      <alignment horizontal="right" vertical="center" shrinkToFit="1"/>
    </xf>
    <xf numFmtId="164" fontId="6" fillId="6" borderId="6" xfId="0" applyNumberFormat="1" applyFont="1" applyFill="1" applyBorder="1" applyAlignment="1">
      <alignment horizontal="right" vertical="center" shrinkToFit="1"/>
    </xf>
    <xf numFmtId="0" fontId="5" fillId="0" borderId="9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0" fillId="0" borderId="10" xfId="0" applyBorder="1"/>
    <xf numFmtId="0" fontId="0" fillId="0" borderId="11" xfId="0" applyBorder="1"/>
    <xf numFmtId="3" fontId="6" fillId="6" borderId="0" xfId="0" applyNumberFormat="1" applyFont="1" applyFill="1" applyBorder="1" applyAlignment="1">
      <alignment horizontal="right" vertical="center" shrinkToFit="1"/>
    </xf>
    <xf numFmtId="3" fontId="6" fillId="6" borderId="6" xfId="0" applyNumberFormat="1" applyFont="1" applyFill="1" applyBorder="1" applyAlignment="1">
      <alignment horizontal="right" vertical="center" shrinkToFit="1"/>
    </xf>
    <xf numFmtId="3" fontId="6" fillId="0" borderId="0" xfId="0" applyNumberFormat="1" applyFont="1" applyBorder="1" applyAlignment="1">
      <alignment horizontal="right" vertical="center" shrinkToFit="1"/>
    </xf>
    <xf numFmtId="0" fontId="8" fillId="0" borderId="0" xfId="0" applyFont="1"/>
    <xf numFmtId="0" fontId="9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36</xdr:row>
          <xdr:rowOff>123825</xdr:rowOff>
        </xdr:from>
        <xdr:to>
          <xdr:col>8</xdr:col>
          <xdr:colOff>314325</xdr:colOff>
          <xdr:row>40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taux de chômage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43</xdr:row>
          <xdr:rowOff>142875</xdr:rowOff>
        </xdr:from>
        <xdr:to>
          <xdr:col>8</xdr:col>
          <xdr:colOff>447675</xdr:colOff>
          <xdr:row>46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taux de chômage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36</xdr:row>
          <xdr:rowOff>123825</xdr:rowOff>
        </xdr:from>
        <xdr:to>
          <xdr:col>5</xdr:col>
          <xdr:colOff>190500</xdr:colOff>
          <xdr:row>40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de la population carcérale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36</xdr:row>
          <xdr:rowOff>85725</xdr:rowOff>
        </xdr:from>
        <xdr:to>
          <xdr:col>14</xdr:col>
          <xdr:colOff>638175</xdr:colOff>
          <xdr:row>39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coefficient de Gini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36</xdr:row>
          <xdr:rowOff>76200</xdr:rowOff>
        </xdr:from>
        <xdr:to>
          <xdr:col>11</xdr:col>
          <xdr:colOff>476250</xdr:colOff>
          <xdr:row>39</xdr:row>
          <xdr:rowOff>142875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PIB / hab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36</xdr:row>
          <xdr:rowOff>161925</xdr:rowOff>
        </xdr:from>
        <xdr:to>
          <xdr:col>2</xdr:col>
          <xdr:colOff>276225</xdr:colOff>
          <xdr:row>40</xdr:row>
          <xdr:rowOff>38100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la courbe du nombre d'infractions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43</xdr:row>
          <xdr:rowOff>161925</xdr:rowOff>
        </xdr:from>
        <xdr:to>
          <xdr:col>14</xdr:col>
          <xdr:colOff>742950</xdr:colOff>
          <xdr:row>46</xdr:row>
          <xdr:rowOff>180975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coeff de Gini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43</xdr:row>
          <xdr:rowOff>133350</xdr:rowOff>
        </xdr:from>
        <xdr:to>
          <xdr:col>5</xdr:col>
          <xdr:colOff>276225</xdr:colOff>
          <xdr:row>46</xdr:row>
          <xdr:rowOff>152400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de la population carcérale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43</xdr:row>
          <xdr:rowOff>142875</xdr:rowOff>
        </xdr:from>
        <xdr:to>
          <xdr:col>11</xdr:col>
          <xdr:colOff>552450</xdr:colOff>
          <xdr:row>46</xdr:row>
          <xdr:rowOff>161925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PIB / hab en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43</xdr:row>
          <xdr:rowOff>114300</xdr:rowOff>
        </xdr:from>
        <xdr:to>
          <xdr:col>2</xdr:col>
          <xdr:colOff>381000</xdr:colOff>
          <xdr:row>46</xdr:row>
          <xdr:rowOff>133350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la courbe du nombre d'infractions en image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20"/>
  <sheetViews>
    <sheetView workbookViewId="0">
      <pane xSplit="1" ySplit="11" topLeftCell="B12" activePane="bottomRight" state="frozen"/>
      <selection pane="topRight"/>
      <selection pane="bottomLeft"/>
      <selection pane="bottomRight" activeCell="L1" sqref="L1"/>
    </sheetView>
  </sheetViews>
  <sheetFormatPr baseColWidth="10" defaultColWidth="9.140625" defaultRowHeight="11.45" customHeight="1" x14ac:dyDescent="0.25"/>
  <cols>
    <col min="1" max="1" width="29.85546875" customWidth="1"/>
    <col min="2" max="12" width="10" customWidth="1"/>
    <col min="14" max="14" width="12.5703125" bestFit="1" customWidth="1"/>
  </cols>
  <sheetData>
    <row r="1" spans="1:14" ht="15" x14ac:dyDescent="0.25">
      <c r="A1" s="3" t="s">
        <v>0</v>
      </c>
      <c r="K1" t="s">
        <v>73</v>
      </c>
      <c r="L1" s="75">
        <f t="array" ref="L1">ROUNDDOWN(MIN(IFERROR(B12:L17,"")),0)</f>
        <v>3</v>
      </c>
    </row>
    <row r="2" spans="1:14" ht="15" x14ac:dyDescent="0.25">
      <c r="A2" s="2" t="s">
        <v>1</v>
      </c>
      <c r="B2" s="35" t="s">
        <v>66</v>
      </c>
    </row>
    <row r="3" spans="1:14" ht="15" x14ac:dyDescent="0.25">
      <c r="A3" s="2" t="s">
        <v>2</v>
      </c>
      <c r="B3" s="2" t="s">
        <v>3</v>
      </c>
    </row>
    <row r="4" spans="1:14" ht="11.45" customHeight="1" x14ac:dyDescent="0.25">
      <c r="N4" s="76"/>
    </row>
    <row r="5" spans="1:14" ht="15" x14ac:dyDescent="0.25">
      <c r="A5" s="1" t="s">
        <v>4</v>
      </c>
      <c r="C5" s="36" t="s">
        <v>69</v>
      </c>
    </row>
    <row r="6" spans="1:14" ht="15" x14ac:dyDescent="0.25">
      <c r="A6" s="1" t="s">
        <v>6</v>
      </c>
      <c r="C6" s="2" t="s">
        <v>7</v>
      </c>
    </row>
    <row r="7" spans="1:14" ht="15" x14ac:dyDescent="0.25">
      <c r="A7" s="1" t="s">
        <v>8</v>
      </c>
      <c r="C7" s="2" t="s">
        <v>9</v>
      </c>
    </row>
    <row r="8" spans="1:14" ht="15" x14ac:dyDescent="0.25">
      <c r="A8" s="1" t="s">
        <v>10</v>
      </c>
      <c r="C8" s="2" t="s">
        <v>11</v>
      </c>
    </row>
    <row r="10" spans="1:14" ht="15" x14ac:dyDescent="0.25">
      <c r="A10" s="5" t="s">
        <v>12</v>
      </c>
      <c r="B10" s="4" t="s">
        <v>13</v>
      </c>
      <c r="C10" s="4" t="s">
        <v>14</v>
      </c>
      <c r="D10" s="4" t="s">
        <v>15</v>
      </c>
      <c r="E10" s="4" t="s">
        <v>16</v>
      </c>
      <c r="F10" s="4" t="s">
        <v>17</v>
      </c>
      <c r="G10" s="4" t="s">
        <v>18</v>
      </c>
      <c r="H10" s="4" t="s">
        <v>19</v>
      </c>
      <c r="I10" s="4" t="s">
        <v>20</v>
      </c>
      <c r="J10" s="4" t="s">
        <v>21</v>
      </c>
      <c r="K10" s="4" t="s">
        <v>22</v>
      </c>
      <c r="L10" s="4" t="s">
        <v>23</v>
      </c>
    </row>
    <row r="11" spans="1:14" ht="15" x14ac:dyDescent="0.25">
      <c r="A11" s="6" t="s">
        <v>24</v>
      </c>
      <c r="B11" s="8" t="s">
        <v>25</v>
      </c>
      <c r="C11" s="8" t="s">
        <v>25</v>
      </c>
      <c r="D11" s="8" t="s">
        <v>25</v>
      </c>
      <c r="E11" s="8" t="s">
        <v>25</v>
      </c>
      <c r="F11" s="8" t="s">
        <v>25</v>
      </c>
      <c r="G11" s="8" t="s">
        <v>25</v>
      </c>
      <c r="H11" s="8" t="s">
        <v>25</v>
      </c>
      <c r="I11" s="8" t="s">
        <v>25</v>
      </c>
      <c r="J11" s="8" t="s">
        <v>25</v>
      </c>
      <c r="K11" s="8" t="s">
        <v>25</v>
      </c>
      <c r="L11" s="8" t="s">
        <v>25</v>
      </c>
    </row>
    <row r="12" spans="1:14" ht="15" x14ac:dyDescent="0.25">
      <c r="A12" s="40" t="s">
        <v>67</v>
      </c>
      <c r="B12" s="12">
        <v>7.5</v>
      </c>
      <c r="C12" s="12">
        <v>7.8</v>
      </c>
      <c r="D12" s="10">
        <v>7</v>
      </c>
      <c r="E12" s="12">
        <v>5.8</v>
      </c>
      <c r="F12" s="12">
        <v>5.4</v>
      </c>
      <c r="G12" s="12">
        <v>5.2</v>
      </c>
      <c r="H12" s="10">
        <v>5</v>
      </c>
      <c r="I12" s="12">
        <v>4.5999999999999996</v>
      </c>
      <c r="J12" s="12">
        <v>4.0999999999999996</v>
      </c>
      <c r="K12" s="12">
        <v>3.8</v>
      </c>
      <c r="L12" s="12">
        <v>3.4</v>
      </c>
    </row>
    <row r="13" spans="1:14" ht="15" x14ac:dyDescent="0.25">
      <c r="A13" s="7" t="s">
        <v>27</v>
      </c>
      <c r="B13" s="11">
        <v>7.8</v>
      </c>
      <c r="C13" s="11">
        <v>9.6</v>
      </c>
      <c r="D13" s="11">
        <v>12.7</v>
      </c>
      <c r="E13" s="11">
        <v>17.899999999999999</v>
      </c>
      <c r="F13" s="11">
        <v>24.5</v>
      </c>
      <c r="G13" s="11">
        <v>27.5</v>
      </c>
      <c r="H13" s="11">
        <v>26.5</v>
      </c>
      <c r="I13" s="11">
        <v>24.9</v>
      </c>
      <c r="J13" s="11">
        <v>23.6</v>
      </c>
      <c r="K13" s="11">
        <v>21.5</v>
      </c>
      <c r="L13" s="11">
        <v>19.3</v>
      </c>
    </row>
    <row r="14" spans="1:14" ht="15" x14ac:dyDescent="0.25">
      <c r="A14" s="7" t="s">
        <v>28</v>
      </c>
      <c r="B14" s="12">
        <v>11.3</v>
      </c>
      <c r="C14" s="12">
        <v>17.899999999999999</v>
      </c>
      <c r="D14" s="12">
        <v>19.899999999999999</v>
      </c>
      <c r="E14" s="12">
        <v>21.4</v>
      </c>
      <c r="F14" s="12">
        <v>24.8</v>
      </c>
      <c r="G14" s="12">
        <v>26.1</v>
      </c>
      <c r="H14" s="12">
        <v>24.5</v>
      </c>
      <c r="I14" s="12">
        <v>22.1</v>
      </c>
      <c r="J14" s="12">
        <v>19.600000000000001</v>
      </c>
      <c r="K14" s="12">
        <v>17.2</v>
      </c>
      <c r="L14" s="12">
        <v>15.3</v>
      </c>
    </row>
    <row r="15" spans="1:14" ht="15" x14ac:dyDescent="0.25">
      <c r="A15" s="7" t="s">
        <v>29</v>
      </c>
      <c r="B15" s="11">
        <v>7.4</v>
      </c>
      <c r="C15" s="11">
        <v>9.1</v>
      </c>
      <c r="D15" s="11">
        <v>9.3000000000000007</v>
      </c>
      <c r="E15" s="11">
        <v>9.1999999999999993</v>
      </c>
      <c r="F15" s="11">
        <v>9.8000000000000007</v>
      </c>
      <c r="G15" s="11">
        <v>10.3</v>
      </c>
      <c r="H15" s="11">
        <v>10.3</v>
      </c>
      <c r="I15" s="11">
        <v>10.4</v>
      </c>
      <c r="J15" s="9">
        <v>10</v>
      </c>
      <c r="K15" s="11">
        <v>9.4</v>
      </c>
      <c r="L15" s="9">
        <v>9</v>
      </c>
    </row>
    <row r="16" spans="1:14" ht="15" x14ac:dyDescent="0.25">
      <c r="A16" s="7" t="s">
        <v>30</v>
      </c>
      <c r="B16" s="12">
        <v>4.0999999999999996</v>
      </c>
      <c r="C16" s="12">
        <v>5.3</v>
      </c>
      <c r="D16" s="12">
        <v>4.8</v>
      </c>
      <c r="E16" s="12">
        <v>4.5999999999999996</v>
      </c>
      <c r="F16" s="12">
        <v>4.9000000000000004</v>
      </c>
      <c r="G16" s="12">
        <v>5.4</v>
      </c>
      <c r="H16" s="12">
        <v>5.6</v>
      </c>
      <c r="I16" s="12">
        <v>5.7</v>
      </c>
      <c r="J16" s="10">
        <v>6</v>
      </c>
      <c r="K16" s="12">
        <v>5.5</v>
      </c>
      <c r="L16" s="12">
        <v>4.9000000000000004</v>
      </c>
    </row>
    <row r="17" spans="1:12" ht="15" x14ac:dyDescent="0.25">
      <c r="A17" s="7" t="s">
        <v>31</v>
      </c>
      <c r="B17" s="11">
        <v>7.7</v>
      </c>
      <c r="C17" s="11">
        <v>9.6</v>
      </c>
      <c r="D17" s="9">
        <v>11</v>
      </c>
      <c r="E17" s="11">
        <v>12.9</v>
      </c>
      <c r="F17" s="11">
        <v>15.8</v>
      </c>
      <c r="G17" s="11">
        <v>16.399999999999999</v>
      </c>
      <c r="H17" s="11">
        <v>14.1</v>
      </c>
      <c r="I17" s="11">
        <v>12.6</v>
      </c>
      <c r="J17" s="11">
        <v>11.2</v>
      </c>
      <c r="K17" s="9">
        <v>9</v>
      </c>
      <c r="L17" s="11">
        <v>7.1</v>
      </c>
    </row>
    <row r="19" spans="1:12" ht="15" x14ac:dyDescent="0.25">
      <c r="A19" s="1" t="s">
        <v>32</v>
      </c>
    </row>
    <row r="20" spans="1:12" ht="15" x14ac:dyDescent="0.25">
      <c r="A20" s="1" t="s">
        <v>33</v>
      </c>
      <c r="B20" s="2" t="s">
        <v>34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E1C45-80B8-458F-A4A8-C038302DE41B}">
  <sheetPr codeName="Feuil3"/>
  <dimension ref="A1:L21"/>
  <sheetViews>
    <sheetView workbookViewId="0">
      <selection activeCell="L1" sqref="L1"/>
    </sheetView>
  </sheetViews>
  <sheetFormatPr baseColWidth="10" defaultRowHeight="15" x14ac:dyDescent="0.25"/>
  <sheetData>
    <row r="1" spans="1:12" x14ac:dyDescent="0.25">
      <c r="A1" s="16" t="s">
        <v>36</v>
      </c>
      <c r="B1" s="14"/>
      <c r="C1" s="14"/>
      <c r="D1" s="14"/>
      <c r="E1" s="14"/>
      <c r="F1" s="14"/>
      <c r="G1" s="14"/>
      <c r="H1" s="14"/>
      <c r="I1" s="14"/>
      <c r="J1" s="14"/>
      <c r="K1" s="34" t="s">
        <v>73</v>
      </c>
      <c r="L1" s="75">
        <f t="array" ref="L1">ROUNDDOWN(MIN(IFERROR(B11:L16,"")),-1)</f>
        <v>70</v>
      </c>
    </row>
    <row r="2" spans="1:12" x14ac:dyDescent="0.25">
      <c r="A2" s="16" t="s">
        <v>1</v>
      </c>
      <c r="B2" s="15" t="s">
        <v>72</v>
      </c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 x14ac:dyDescent="0.25">
      <c r="A3" s="16" t="s">
        <v>2</v>
      </c>
      <c r="B3" s="16" t="s">
        <v>37</v>
      </c>
      <c r="C3" s="14"/>
      <c r="D3" s="14"/>
      <c r="E3" s="14"/>
      <c r="F3" s="14"/>
      <c r="G3" s="14"/>
      <c r="H3" s="14"/>
      <c r="I3" s="14"/>
      <c r="J3" s="14"/>
      <c r="K3" s="14"/>
      <c r="L3" s="14"/>
    </row>
    <row r="5" spans="1:12" x14ac:dyDescent="0.25">
      <c r="A5" s="15" t="s">
        <v>4</v>
      </c>
      <c r="B5" s="14"/>
      <c r="C5" s="16" t="s">
        <v>69</v>
      </c>
      <c r="D5" s="14"/>
      <c r="E5" s="14"/>
      <c r="F5" s="14"/>
      <c r="G5" s="14"/>
      <c r="H5" s="14"/>
      <c r="I5" s="14"/>
      <c r="J5" s="14"/>
      <c r="K5" s="14"/>
      <c r="L5" s="14"/>
    </row>
    <row r="6" spans="1:12" x14ac:dyDescent="0.25">
      <c r="A6" s="15" t="s">
        <v>38</v>
      </c>
      <c r="B6" s="14"/>
      <c r="C6" s="16" t="s">
        <v>39</v>
      </c>
      <c r="D6" s="14"/>
      <c r="E6" s="14"/>
      <c r="F6" s="14"/>
      <c r="G6" s="14"/>
      <c r="H6" s="14"/>
      <c r="I6" s="14"/>
      <c r="J6" s="14"/>
      <c r="K6" s="14"/>
      <c r="L6" s="14"/>
    </row>
    <row r="7" spans="1:12" x14ac:dyDescent="0.25">
      <c r="A7" s="15" t="s">
        <v>8</v>
      </c>
      <c r="B7" s="14"/>
      <c r="C7" s="16" t="s">
        <v>40</v>
      </c>
      <c r="D7" s="14"/>
      <c r="E7" s="14"/>
      <c r="F7" s="14"/>
      <c r="G7" s="14"/>
      <c r="H7" s="14"/>
      <c r="I7" s="14"/>
      <c r="J7" s="14"/>
      <c r="K7" s="14"/>
      <c r="L7" s="14"/>
    </row>
    <row r="9" spans="1:12" x14ac:dyDescent="0.25">
      <c r="A9" s="18" t="s">
        <v>12</v>
      </c>
      <c r="B9" s="17" t="s">
        <v>13</v>
      </c>
      <c r="C9" s="17" t="s">
        <v>14</v>
      </c>
      <c r="D9" s="17" t="s">
        <v>15</v>
      </c>
      <c r="E9" s="17" t="s">
        <v>16</v>
      </c>
      <c r="F9" s="17" t="s">
        <v>17</v>
      </c>
      <c r="G9" s="17" t="s">
        <v>18</v>
      </c>
      <c r="H9" s="17" t="s">
        <v>19</v>
      </c>
      <c r="I9" s="17" t="s">
        <v>20</v>
      </c>
      <c r="J9" s="17" t="s">
        <v>21</v>
      </c>
      <c r="K9" s="17" t="s">
        <v>22</v>
      </c>
      <c r="L9" s="17" t="s">
        <v>23</v>
      </c>
    </row>
    <row r="10" spans="1:12" x14ac:dyDescent="0.25">
      <c r="A10" s="19" t="s">
        <v>24</v>
      </c>
      <c r="B10" s="21" t="s">
        <v>25</v>
      </c>
      <c r="C10" s="21" t="s">
        <v>25</v>
      </c>
      <c r="D10" s="21" t="s">
        <v>25</v>
      </c>
      <c r="E10" s="21" t="s">
        <v>25</v>
      </c>
      <c r="F10" s="21" t="s">
        <v>25</v>
      </c>
      <c r="G10" s="21" t="s">
        <v>25</v>
      </c>
      <c r="H10" s="21" t="s">
        <v>25</v>
      </c>
      <c r="I10" s="21" t="s">
        <v>25</v>
      </c>
      <c r="J10" s="21" t="s">
        <v>25</v>
      </c>
      <c r="K10" s="21" t="s">
        <v>25</v>
      </c>
      <c r="L10" s="21" t="s">
        <v>25</v>
      </c>
    </row>
    <row r="11" spans="1:12" x14ac:dyDescent="0.25">
      <c r="A11" s="20" t="s">
        <v>67</v>
      </c>
      <c r="B11" s="22">
        <v>89.75</v>
      </c>
      <c r="C11" s="22">
        <v>88.16</v>
      </c>
      <c r="D11" s="22">
        <v>86.58</v>
      </c>
      <c r="E11" s="22">
        <v>86.69</v>
      </c>
      <c r="F11" s="22">
        <v>85.32</v>
      </c>
      <c r="G11" s="22">
        <v>82.24</v>
      </c>
      <c r="H11" s="22">
        <v>78.28</v>
      </c>
      <c r="I11" s="22">
        <v>77.61</v>
      </c>
      <c r="J11" s="22">
        <v>78.239999999999995</v>
      </c>
      <c r="K11" s="22">
        <v>79.790000000000006</v>
      </c>
      <c r="L11" s="22">
        <v>79.430000000000007</v>
      </c>
    </row>
    <row r="12" spans="1:12" x14ac:dyDescent="0.25">
      <c r="A12" s="20" t="s">
        <v>27</v>
      </c>
      <c r="B12" s="23">
        <v>110.13</v>
      </c>
      <c r="C12" s="23">
        <v>102.43</v>
      </c>
      <c r="D12" s="23">
        <v>111.06</v>
      </c>
      <c r="E12" s="23">
        <v>112.19</v>
      </c>
      <c r="F12" s="23">
        <v>112.53</v>
      </c>
      <c r="G12" s="23">
        <v>115.35</v>
      </c>
      <c r="H12" s="23">
        <v>107.97</v>
      </c>
      <c r="I12" s="23">
        <v>88.52</v>
      </c>
      <c r="J12" s="23">
        <v>88.65</v>
      </c>
      <c r="K12" s="23">
        <v>92.97</v>
      </c>
      <c r="L12" s="23">
        <v>99.19</v>
      </c>
    </row>
    <row r="13" spans="1:12" x14ac:dyDescent="0.25">
      <c r="A13" s="20" t="s">
        <v>28</v>
      </c>
      <c r="B13" s="22">
        <v>161.07</v>
      </c>
      <c r="C13" s="22">
        <v>164.53</v>
      </c>
      <c r="D13" s="22">
        <v>159.03</v>
      </c>
      <c r="E13" s="22">
        <v>151.01</v>
      </c>
      <c r="F13" s="22">
        <v>146.52000000000001</v>
      </c>
      <c r="G13" s="22">
        <v>142.88</v>
      </c>
      <c r="H13" s="22">
        <v>139.78</v>
      </c>
      <c r="I13" s="22">
        <v>132.65</v>
      </c>
      <c r="J13" s="22">
        <v>128.31</v>
      </c>
      <c r="K13" s="22">
        <v>126.41</v>
      </c>
      <c r="L13" s="22">
        <v>126.2</v>
      </c>
    </row>
    <row r="14" spans="1:12" x14ac:dyDescent="0.25">
      <c r="A14" s="20" t="s">
        <v>29</v>
      </c>
      <c r="B14" s="23">
        <v>97.26</v>
      </c>
      <c r="C14" s="23">
        <v>94.76</v>
      </c>
      <c r="D14" s="23">
        <v>93.64</v>
      </c>
      <c r="E14" s="23">
        <v>99.7</v>
      </c>
      <c r="F14" s="23">
        <v>101.98</v>
      </c>
      <c r="G14" s="23">
        <v>102.25</v>
      </c>
      <c r="H14" s="23">
        <v>100.5</v>
      </c>
      <c r="I14" s="23">
        <v>100.29</v>
      </c>
      <c r="J14" s="23">
        <v>102.5</v>
      </c>
      <c r="K14" s="23">
        <v>103.25</v>
      </c>
      <c r="L14" s="23">
        <v>104.69</v>
      </c>
    </row>
    <row r="15" spans="1:12" x14ac:dyDescent="0.25">
      <c r="A15" s="20" t="s">
        <v>30</v>
      </c>
      <c r="B15" s="22">
        <v>99.28</v>
      </c>
      <c r="C15" s="22">
        <v>104.48</v>
      </c>
      <c r="D15" s="22">
        <v>102.26</v>
      </c>
      <c r="E15" s="22">
        <v>104.71</v>
      </c>
      <c r="F15" s="22">
        <v>104.72</v>
      </c>
      <c r="G15" s="22">
        <v>104.85</v>
      </c>
      <c r="H15" s="22">
        <v>102.18</v>
      </c>
      <c r="I15" s="22">
        <v>101.03</v>
      </c>
      <c r="J15" s="22">
        <v>99.18</v>
      </c>
      <c r="K15" s="22">
        <v>100.9</v>
      </c>
      <c r="L15" s="22">
        <v>103.86</v>
      </c>
    </row>
    <row r="16" spans="1:12" x14ac:dyDescent="0.25">
      <c r="A16" s="20" t="s">
        <v>31</v>
      </c>
      <c r="B16" s="23">
        <v>102.4</v>
      </c>
      <c r="C16" s="23">
        <v>106.85</v>
      </c>
      <c r="D16" s="23">
        <v>111.97</v>
      </c>
      <c r="E16" s="23">
        <v>122.53</v>
      </c>
      <c r="F16" s="23">
        <v>131.61000000000001</v>
      </c>
      <c r="G16" s="23">
        <v>138.6</v>
      </c>
      <c r="H16" s="23">
        <v>136.16</v>
      </c>
      <c r="I16" s="23">
        <v>138.54</v>
      </c>
      <c r="J16" s="23">
        <v>134.58000000000001</v>
      </c>
      <c r="K16" s="23">
        <v>131.79</v>
      </c>
      <c r="L16" s="23">
        <v>126.53</v>
      </c>
    </row>
    <row r="18" spans="1:2" x14ac:dyDescent="0.25">
      <c r="A18" s="15" t="s">
        <v>32</v>
      </c>
      <c r="B18" s="14"/>
    </row>
    <row r="19" spans="1:2" x14ac:dyDescent="0.25">
      <c r="A19" s="15" t="s">
        <v>33</v>
      </c>
      <c r="B19" s="16" t="s">
        <v>34</v>
      </c>
    </row>
    <row r="21" spans="1:2" x14ac:dyDescent="0.25">
      <c r="A21" s="7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C8129-03F1-4926-906D-C5A960BD7586}">
  <sheetPr codeName="Feuil7"/>
  <dimension ref="A1:L18"/>
  <sheetViews>
    <sheetView workbookViewId="0">
      <selection activeCell="L1" sqref="L1"/>
    </sheetView>
  </sheetViews>
  <sheetFormatPr baseColWidth="10" defaultRowHeight="15" x14ac:dyDescent="0.25"/>
  <sheetData>
    <row r="1" spans="1:12" x14ac:dyDescent="0.25">
      <c r="A1" s="36" t="s">
        <v>46</v>
      </c>
      <c r="B1" s="34"/>
      <c r="C1" s="34"/>
      <c r="D1" s="34"/>
      <c r="E1" s="34"/>
      <c r="F1" s="34"/>
      <c r="G1" s="34"/>
      <c r="H1" s="34"/>
      <c r="I1" s="34"/>
      <c r="J1" s="34"/>
      <c r="K1" s="34" t="s">
        <v>73</v>
      </c>
      <c r="L1" s="75">
        <f t="array" ref="L1">ROUNDDOWN(MIN(IFERROR(B10:L15,"")),0)</f>
        <v>26</v>
      </c>
    </row>
    <row r="2" spans="1:12" x14ac:dyDescent="0.25">
      <c r="A2" s="36" t="s">
        <v>1</v>
      </c>
      <c r="B2" s="35" t="s">
        <v>68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1:12" x14ac:dyDescent="0.25">
      <c r="A3" s="36" t="s">
        <v>2</v>
      </c>
      <c r="B3" s="36" t="s">
        <v>35</v>
      </c>
      <c r="C3" s="34"/>
      <c r="D3" s="34"/>
      <c r="E3" s="34"/>
      <c r="F3" s="34"/>
      <c r="G3" s="34"/>
      <c r="H3" s="34"/>
      <c r="I3" s="34"/>
      <c r="J3" s="34"/>
      <c r="K3" s="34"/>
      <c r="L3" s="34"/>
    </row>
    <row r="5" spans="1:12" x14ac:dyDescent="0.25">
      <c r="A5" s="35" t="s">
        <v>4</v>
      </c>
      <c r="B5" s="34"/>
      <c r="C5" s="36" t="s">
        <v>69</v>
      </c>
      <c r="D5" s="34"/>
      <c r="E5" s="34"/>
      <c r="F5" s="34"/>
      <c r="G5" s="34"/>
      <c r="H5" s="34"/>
      <c r="I5" s="34"/>
      <c r="J5" s="34"/>
      <c r="K5" s="34"/>
      <c r="L5" s="34"/>
    </row>
    <row r="6" spans="1:12" x14ac:dyDescent="0.25">
      <c r="A6" s="35" t="s">
        <v>47</v>
      </c>
      <c r="B6" s="34"/>
      <c r="C6" s="36" t="s">
        <v>48</v>
      </c>
      <c r="D6" s="34"/>
      <c r="E6" s="34"/>
      <c r="F6" s="34"/>
      <c r="G6" s="34"/>
      <c r="H6" s="34"/>
      <c r="I6" s="34"/>
      <c r="J6" s="34"/>
      <c r="K6" s="34"/>
      <c r="L6" s="34"/>
    </row>
    <row r="8" spans="1:12" x14ac:dyDescent="0.25">
      <c r="A8" s="38" t="s">
        <v>12</v>
      </c>
      <c r="B8" s="37" t="s">
        <v>13</v>
      </c>
      <c r="C8" s="37" t="s">
        <v>14</v>
      </c>
      <c r="D8" s="37" t="s">
        <v>15</v>
      </c>
      <c r="E8" s="37" t="s">
        <v>16</v>
      </c>
      <c r="F8" s="37" t="s">
        <v>17</v>
      </c>
      <c r="G8" s="37" t="s">
        <v>18</v>
      </c>
      <c r="H8" s="37" t="s">
        <v>19</v>
      </c>
      <c r="I8" s="37" t="s">
        <v>20</v>
      </c>
      <c r="J8" s="37" t="s">
        <v>21</v>
      </c>
      <c r="K8" s="37" t="s">
        <v>22</v>
      </c>
      <c r="L8" s="37" t="s">
        <v>23</v>
      </c>
    </row>
    <row r="9" spans="1:12" x14ac:dyDescent="0.25">
      <c r="A9" s="39" t="s">
        <v>24</v>
      </c>
      <c r="B9" s="41" t="s">
        <v>25</v>
      </c>
      <c r="C9" s="41" t="s">
        <v>25</v>
      </c>
      <c r="D9" s="41" t="s">
        <v>25</v>
      </c>
      <c r="E9" s="41" t="s">
        <v>25</v>
      </c>
      <c r="F9" s="41" t="s">
        <v>25</v>
      </c>
      <c r="G9" s="41" t="s">
        <v>25</v>
      </c>
      <c r="H9" s="41" t="s">
        <v>25</v>
      </c>
      <c r="I9" s="41" t="s">
        <v>25</v>
      </c>
      <c r="J9" s="41" t="s">
        <v>25</v>
      </c>
      <c r="K9" s="41" t="s">
        <v>25</v>
      </c>
      <c r="L9" s="41" t="s">
        <v>25</v>
      </c>
    </row>
    <row r="10" spans="1:12" x14ac:dyDescent="0.25">
      <c r="A10" s="40" t="s">
        <v>67</v>
      </c>
      <c r="B10" s="45">
        <v>30.2</v>
      </c>
      <c r="C10" s="45">
        <v>29.1</v>
      </c>
      <c r="D10" s="45">
        <v>29.3</v>
      </c>
      <c r="E10" s="43">
        <v>29</v>
      </c>
      <c r="F10" s="45">
        <v>28.3</v>
      </c>
      <c r="G10" s="45">
        <v>29.7</v>
      </c>
      <c r="H10" s="45">
        <v>30.7</v>
      </c>
      <c r="I10" s="45">
        <v>30.1</v>
      </c>
      <c r="J10" s="45">
        <v>29.5</v>
      </c>
      <c r="K10" s="45">
        <v>29.1</v>
      </c>
      <c r="L10" s="45">
        <v>31.1</v>
      </c>
    </row>
    <row r="11" spans="1:12" x14ac:dyDescent="0.25">
      <c r="A11" s="40" t="s">
        <v>27</v>
      </c>
      <c r="B11" s="44">
        <v>33.4</v>
      </c>
      <c r="C11" s="44">
        <v>33.1</v>
      </c>
      <c r="D11" s="44">
        <v>32.9</v>
      </c>
      <c r="E11" s="44">
        <v>33.5</v>
      </c>
      <c r="F11" s="44">
        <v>34.299999999999997</v>
      </c>
      <c r="G11" s="44">
        <v>34.4</v>
      </c>
      <c r="H11" s="44">
        <v>34.5</v>
      </c>
      <c r="I11" s="44">
        <v>34.200000000000003</v>
      </c>
      <c r="J11" s="44">
        <v>34.299999999999997</v>
      </c>
      <c r="K11" s="44">
        <v>33.4</v>
      </c>
      <c r="L11" s="44">
        <v>32.299999999999997</v>
      </c>
    </row>
    <row r="12" spans="1:12" x14ac:dyDescent="0.25">
      <c r="A12" s="40" t="s">
        <v>28</v>
      </c>
      <c r="B12" s="45">
        <v>32.4</v>
      </c>
      <c r="C12" s="45">
        <v>32.9</v>
      </c>
      <c r="D12" s="45">
        <v>33.5</v>
      </c>
      <c r="E12" s="43">
        <v>34</v>
      </c>
      <c r="F12" s="45">
        <v>34.200000000000003</v>
      </c>
      <c r="G12" s="45">
        <v>33.700000000000003</v>
      </c>
      <c r="H12" s="45">
        <v>34.700000000000003</v>
      </c>
      <c r="I12" s="45">
        <v>34.6</v>
      </c>
      <c r="J12" s="45">
        <v>34.5</v>
      </c>
      <c r="K12" s="45">
        <v>34.1</v>
      </c>
      <c r="L12" s="45">
        <v>33.200000000000003</v>
      </c>
    </row>
    <row r="13" spans="1:12" x14ac:dyDescent="0.25">
      <c r="A13" s="40" t="s">
        <v>29</v>
      </c>
      <c r="B13" s="44">
        <v>29.8</v>
      </c>
      <c r="C13" s="44">
        <v>29.9</v>
      </c>
      <c r="D13" s="44">
        <v>29.8</v>
      </c>
      <c r="E13" s="44">
        <v>30.8</v>
      </c>
      <c r="F13" s="44">
        <v>30.5</v>
      </c>
      <c r="G13" s="44">
        <v>30.1</v>
      </c>
      <c r="H13" s="44">
        <v>29.2</v>
      </c>
      <c r="I13" s="44">
        <v>29.2</v>
      </c>
      <c r="J13" s="44">
        <v>29.3</v>
      </c>
      <c r="K13" s="44">
        <v>28.8</v>
      </c>
      <c r="L13" s="44">
        <v>28.5</v>
      </c>
    </row>
    <row r="14" spans="1:12" x14ac:dyDescent="0.25">
      <c r="A14" s="40" t="s">
        <v>30</v>
      </c>
      <c r="B14" s="45">
        <v>27.7</v>
      </c>
      <c r="C14" s="45">
        <v>27.5</v>
      </c>
      <c r="D14" s="45">
        <v>28.3</v>
      </c>
      <c r="E14" s="45">
        <v>27.4</v>
      </c>
      <c r="F14" s="45">
        <v>27.6</v>
      </c>
      <c r="G14" s="43">
        <v>27</v>
      </c>
      <c r="H14" s="45">
        <v>27.6</v>
      </c>
      <c r="I14" s="45">
        <v>27.2</v>
      </c>
      <c r="J14" s="45">
        <v>27.2</v>
      </c>
      <c r="K14" s="45">
        <v>27.9</v>
      </c>
      <c r="L14" s="45">
        <v>26.8</v>
      </c>
    </row>
    <row r="15" spans="1:12" x14ac:dyDescent="0.25">
      <c r="A15" s="40" t="s">
        <v>31</v>
      </c>
      <c r="B15" s="44">
        <v>35.799999999999997</v>
      </c>
      <c r="C15" s="44">
        <v>35.4</v>
      </c>
      <c r="D15" s="44">
        <v>33.700000000000003</v>
      </c>
      <c r="E15" s="44">
        <v>34.200000000000003</v>
      </c>
      <c r="F15" s="44">
        <v>34.5</v>
      </c>
      <c r="G15" s="44">
        <v>34.200000000000003</v>
      </c>
      <c r="H15" s="44">
        <v>34.5</v>
      </c>
      <c r="I15" s="42">
        <v>34</v>
      </c>
      <c r="J15" s="44">
        <v>33.9</v>
      </c>
      <c r="K15" s="44">
        <v>33.5</v>
      </c>
      <c r="L15" s="44">
        <v>32.1</v>
      </c>
    </row>
    <row r="17" spans="1:2" x14ac:dyDescent="0.25">
      <c r="A17" s="35" t="s">
        <v>32</v>
      </c>
      <c r="B17" s="34"/>
    </row>
    <row r="18" spans="1:2" x14ac:dyDescent="0.25">
      <c r="A18" s="35" t="s">
        <v>33</v>
      </c>
      <c r="B18" s="36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31D51-B6EF-4243-A6DD-D5FB4861605F}">
  <sheetPr codeName="Feuil4"/>
  <dimension ref="A1:L19"/>
  <sheetViews>
    <sheetView workbookViewId="0">
      <selection activeCell="L1" sqref="L1"/>
    </sheetView>
  </sheetViews>
  <sheetFormatPr baseColWidth="10" defaultRowHeight="15" x14ac:dyDescent="0.25"/>
  <sheetData>
    <row r="1" spans="1:12" x14ac:dyDescent="0.25">
      <c r="A1" s="26" t="s">
        <v>41</v>
      </c>
      <c r="B1" s="24"/>
      <c r="C1" s="24"/>
      <c r="D1" s="24"/>
      <c r="E1" s="24"/>
      <c r="F1" s="24"/>
      <c r="G1" s="24"/>
      <c r="H1" s="24"/>
      <c r="I1" s="24"/>
      <c r="J1" s="24"/>
      <c r="K1" s="34" t="s">
        <v>73</v>
      </c>
      <c r="L1" s="75">
        <f t="array" ref="L1">ROUNDDOWN(MIN(IFERROR(B11:L16,"")),-4)</f>
        <v>10000</v>
      </c>
    </row>
    <row r="2" spans="1:12" x14ac:dyDescent="0.25">
      <c r="A2" s="26" t="s">
        <v>1</v>
      </c>
      <c r="B2" s="25" t="s">
        <v>70</v>
      </c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x14ac:dyDescent="0.25">
      <c r="A3" s="26" t="s">
        <v>2</v>
      </c>
      <c r="B3" s="26" t="s">
        <v>42</v>
      </c>
      <c r="C3" s="24"/>
      <c r="D3" s="24"/>
      <c r="E3" s="24"/>
      <c r="F3" s="24"/>
      <c r="G3" s="24"/>
      <c r="H3" s="24"/>
      <c r="I3" s="24"/>
      <c r="J3" s="24"/>
      <c r="K3" s="24"/>
      <c r="L3" s="24"/>
    </row>
    <row r="5" spans="1:12" x14ac:dyDescent="0.25">
      <c r="A5" s="25" t="s">
        <v>4</v>
      </c>
      <c r="B5" s="24"/>
      <c r="C5" s="26" t="s">
        <v>69</v>
      </c>
      <c r="D5" s="24"/>
      <c r="E5" s="24"/>
      <c r="F5" s="24"/>
      <c r="G5" s="24"/>
      <c r="H5" s="24"/>
      <c r="I5" s="24"/>
      <c r="J5" s="24"/>
      <c r="K5" s="24"/>
      <c r="L5" s="24"/>
    </row>
    <row r="6" spans="1:12" x14ac:dyDescent="0.25">
      <c r="A6" s="25" t="s">
        <v>8</v>
      </c>
      <c r="B6" s="24"/>
      <c r="C6" s="26" t="s">
        <v>43</v>
      </c>
      <c r="D6" s="24"/>
      <c r="E6" s="24"/>
      <c r="F6" s="24"/>
      <c r="G6" s="24"/>
      <c r="H6" s="24"/>
      <c r="I6" s="24"/>
      <c r="J6" s="24"/>
      <c r="K6" s="24"/>
      <c r="L6" s="24"/>
    </row>
    <row r="7" spans="1:12" x14ac:dyDescent="0.25">
      <c r="A7" s="25" t="s">
        <v>44</v>
      </c>
      <c r="B7" s="24"/>
      <c r="C7" s="26" t="s">
        <v>45</v>
      </c>
      <c r="D7" s="24"/>
      <c r="E7" s="24"/>
      <c r="F7" s="24"/>
      <c r="G7" s="24"/>
      <c r="H7" s="24"/>
      <c r="I7" s="24"/>
      <c r="J7" s="24"/>
      <c r="K7" s="24"/>
      <c r="L7" s="24"/>
    </row>
    <row r="9" spans="1:12" x14ac:dyDescent="0.25">
      <c r="A9" s="28" t="s">
        <v>12</v>
      </c>
      <c r="B9" s="27" t="s">
        <v>13</v>
      </c>
      <c r="C9" s="27" t="s">
        <v>14</v>
      </c>
      <c r="D9" s="27" t="s">
        <v>15</v>
      </c>
      <c r="E9" s="27" t="s">
        <v>16</v>
      </c>
      <c r="F9" s="27" t="s">
        <v>17</v>
      </c>
      <c r="G9" s="27" t="s">
        <v>18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23</v>
      </c>
    </row>
    <row r="10" spans="1:12" x14ac:dyDescent="0.25">
      <c r="A10" s="29" t="s">
        <v>24</v>
      </c>
      <c r="B10" s="31" t="s">
        <v>25</v>
      </c>
      <c r="C10" s="31" t="s">
        <v>25</v>
      </c>
      <c r="D10" s="31" t="s">
        <v>25</v>
      </c>
      <c r="E10" s="31" t="s">
        <v>25</v>
      </c>
      <c r="F10" s="31" t="s">
        <v>25</v>
      </c>
      <c r="G10" s="31" t="s">
        <v>25</v>
      </c>
      <c r="H10" s="31" t="s">
        <v>25</v>
      </c>
      <c r="I10" s="31" t="s">
        <v>25</v>
      </c>
      <c r="J10" s="31" t="s">
        <v>25</v>
      </c>
      <c r="K10" s="31" t="s">
        <v>25</v>
      </c>
      <c r="L10" s="31" t="s">
        <v>25</v>
      </c>
    </row>
    <row r="11" spans="1:12" x14ac:dyDescent="0.25">
      <c r="A11" s="30" t="s">
        <v>67</v>
      </c>
      <c r="B11" s="32">
        <v>32320</v>
      </c>
      <c r="C11" s="32">
        <v>30580</v>
      </c>
      <c r="D11" s="32">
        <v>31940</v>
      </c>
      <c r="E11" s="32">
        <v>33200</v>
      </c>
      <c r="F11" s="32">
        <v>33280</v>
      </c>
      <c r="G11" s="32">
        <v>33330</v>
      </c>
      <c r="H11" s="32">
        <v>33920</v>
      </c>
      <c r="I11" s="32">
        <v>34130</v>
      </c>
      <c r="J11" s="32">
        <v>34610</v>
      </c>
      <c r="K11" s="32">
        <v>35380</v>
      </c>
      <c r="L11" s="32">
        <v>35720</v>
      </c>
    </row>
    <row r="12" spans="1:12" x14ac:dyDescent="0.25">
      <c r="A12" s="30" t="s">
        <v>27</v>
      </c>
      <c r="B12" s="33">
        <v>22370</v>
      </c>
      <c r="C12" s="33">
        <v>21350</v>
      </c>
      <c r="D12" s="33">
        <v>20150</v>
      </c>
      <c r="E12" s="33">
        <v>18130</v>
      </c>
      <c r="F12" s="33">
        <v>16940</v>
      </c>
      <c r="G12" s="33">
        <v>16600</v>
      </c>
      <c r="H12" s="33">
        <v>16820</v>
      </c>
      <c r="I12" s="33">
        <v>16870</v>
      </c>
      <c r="J12" s="33">
        <v>16850</v>
      </c>
      <c r="K12" s="33">
        <v>17100</v>
      </c>
      <c r="L12" s="33">
        <v>17400</v>
      </c>
    </row>
    <row r="13" spans="1:12" x14ac:dyDescent="0.25">
      <c r="A13" s="30" t="s">
        <v>28</v>
      </c>
      <c r="B13" s="32">
        <v>24200</v>
      </c>
      <c r="C13" s="32">
        <v>23100</v>
      </c>
      <c r="D13" s="32">
        <v>23040</v>
      </c>
      <c r="E13" s="32">
        <v>22770</v>
      </c>
      <c r="F13" s="32">
        <v>22080</v>
      </c>
      <c r="G13" s="32">
        <v>21840</v>
      </c>
      <c r="H13" s="32">
        <v>22210</v>
      </c>
      <c r="I13" s="32">
        <v>23080</v>
      </c>
      <c r="J13" s="32">
        <v>23760</v>
      </c>
      <c r="K13" s="32">
        <v>24430</v>
      </c>
      <c r="L13" s="32">
        <v>24910</v>
      </c>
    </row>
    <row r="14" spans="1:12" x14ac:dyDescent="0.25">
      <c r="A14" s="30" t="s">
        <v>29</v>
      </c>
      <c r="B14" s="33">
        <v>31310</v>
      </c>
      <c r="C14" s="33">
        <v>30250</v>
      </c>
      <c r="D14" s="33">
        <v>30690</v>
      </c>
      <c r="E14" s="33">
        <v>31210</v>
      </c>
      <c r="F14" s="33">
        <v>31160</v>
      </c>
      <c r="G14" s="33">
        <v>31170</v>
      </c>
      <c r="H14" s="33">
        <v>31320</v>
      </c>
      <c r="I14" s="33">
        <v>31540</v>
      </c>
      <c r="J14" s="33">
        <v>31770</v>
      </c>
      <c r="K14" s="33">
        <v>32380</v>
      </c>
      <c r="L14" s="33">
        <v>32860</v>
      </c>
    </row>
    <row r="15" spans="1:12" x14ac:dyDescent="0.25">
      <c r="A15" s="30" t="s">
        <v>30</v>
      </c>
      <c r="B15" s="32">
        <v>36280</v>
      </c>
      <c r="C15" s="32">
        <v>34830</v>
      </c>
      <c r="D15" s="32">
        <v>35390</v>
      </c>
      <c r="E15" s="32">
        <v>36300</v>
      </c>
      <c r="F15" s="32">
        <v>36390</v>
      </c>
      <c r="G15" s="32">
        <v>36180</v>
      </c>
      <c r="H15" s="32">
        <v>36130</v>
      </c>
      <c r="I15" s="32">
        <v>36140</v>
      </c>
      <c r="J15" s="32">
        <v>36390</v>
      </c>
      <c r="K15" s="32">
        <v>37030</v>
      </c>
      <c r="L15" s="32">
        <v>37800</v>
      </c>
    </row>
    <row r="16" spans="1:12" x14ac:dyDescent="0.25">
      <c r="A16" s="30" t="s">
        <v>31</v>
      </c>
      <c r="B16" s="33">
        <v>17260</v>
      </c>
      <c r="C16" s="33">
        <v>16710</v>
      </c>
      <c r="D16" s="33">
        <v>16990</v>
      </c>
      <c r="E16" s="33">
        <v>16720</v>
      </c>
      <c r="F16" s="33">
        <v>16110</v>
      </c>
      <c r="G16" s="33">
        <v>16050</v>
      </c>
      <c r="H16" s="33">
        <v>16260</v>
      </c>
      <c r="I16" s="33">
        <v>16620</v>
      </c>
      <c r="J16" s="33">
        <v>17010</v>
      </c>
      <c r="K16" s="33">
        <v>17650</v>
      </c>
      <c r="L16" s="33">
        <v>18190</v>
      </c>
    </row>
    <row r="18" spans="1:2" x14ac:dyDescent="0.25">
      <c r="A18" s="25" t="s">
        <v>32</v>
      </c>
      <c r="B18" s="24"/>
    </row>
    <row r="19" spans="1:2" x14ac:dyDescent="0.25">
      <c r="A19" s="25" t="s">
        <v>33</v>
      </c>
      <c r="B19" s="2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331F-3012-47F0-9807-E88D5976FE9B}">
  <sheetPr codeName="Feuil5"/>
  <dimension ref="A1:AL76"/>
  <sheetViews>
    <sheetView zoomScaleNormal="100" workbookViewId="0">
      <selection activeCell="L1" sqref="L1"/>
    </sheetView>
  </sheetViews>
  <sheetFormatPr baseColWidth="10" defaultColWidth="9.140625" defaultRowHeight="11.45" customHeight="1" x14ac:dyDescent="0.25"/>
  <cols>
    <col min="1" max="1" width="14.85546875" style="34" customWidth="1"/>
    <col min="2" max="12" width="10" style="34" customWidth="1"/>
    <col min="13" max="16384" width="9.140625" style="34"/>
  </cols>
  <sheetData>
    <row r="1" spans="1:38" ht="15" x14ac:dyDescent="0.25">
      <c r="A1" s="13" t="s">
        <v>49</v>
      </c>
      <c r="B1" s="46"/>
      <c r="C1" s="46"/>
      <c r="D1" s="46"/>
      <c r="E1" s="46"/>
      <c r="F1" s="46"/>
      <c r="G1" s="46"/>
      <c r="H1" s="46"/>
      <c r="I1" s="46"/>
      <c r="J1" s="46"/>
      <c r="K1" s="34" t="s">
        <v>73</v>
      </c>
      <c r="L1" s="77">
        <f t="array" ref="L1">ROUNDDOWN(MIN(IFERROR(B11:L16,"")),-2)</f>
        <v>800</v>
      </c>
      <c r="N1" s="13" t="s">
        <v>49</v>
      </c>
      <c r="O1" s="46"/>
      <c r="P1" s="46"/>
      <c r="Q1" s="46"/>
      <c r="R1" s="46"/>
      <c r="S1" s="46"/>
      <c r="T1" s="46"/>
      <c r="U1" s="46"/>
      <c r="V1" s="46"/>
      <c r="W1" s="46"/>
      <c r="X1" s="46"/>
      <c r="Y1" s="47"/>
      <c r="AA1" s="13" t="s">
        <v>49</v>
      </c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7"/>
    </row>
    <row r="2" spans="1:38" ht="15" x14ac:dyDescent="0.25">
      <c r="A2" s="48" t="s">
        <v>1</v>
      </c>
      <c r="B2" s="49" t="s">
        <v>71</v>
      </c>
      <c r="C2" s="50"/>
      <c r="D2" s="50"/>
      <c r="E2" s="50"/>
      <c r="F2" s="50"/>
      <c r="G2" s="50"/>
      <c r="H2" s="50"/>
      <c r="I2" s="50"/>
      <c r="J2" s="50"/>
      <c r="K2" s="50"/>
      <c r="L2" s="51"/>
      <c r="N2" s="48" t="s">
        <v>1</v>
      </c>
      <c r="O2" s="49" t="s">
        <v>50</v>
      </c>
      <c r="P2" s="50"/>
      <c r="Q2" s="50"/>
      <c r="R2" s="50"/>
      <c r="S2" s="50"/>
      <c r="T2" s="50"/>
      <c r="U2" s="50"/>
      <c r="V2" s="50"/>
      <c r="W2" s="50"/>
      <c r="X2" s="50"/>
      <c r="Y2" s="51"/>
      <c r="AA2" s="48" t="s">
        <v>1</v>
      </c>
      <c r="AB2" s="49" t="s">
        <v>50</v>
      </c>
      <c r="AC2" s="50"/>
      <c r="AD2" s="50"/>
      <c r="AE2" s="50"/>
      <c r="AF2" s="50"/>
      <c r="AG2" s="50"/>
      <c r="AH2" s="50"/>
      <c r="AI2" s="50"/>
      <c r="AJ2" s="50"/>
      <c r="AK2" s="50"/>
      <c r="AL2" s="51"/>
    </row>
    <row r="3" spans="1:38" ht="15" x14ac:dyDescent="0.25">
      <c r="A3" s="48" t="s">
        <v>2</v>
      </c>
      <c r="B3" s="52" t="s">
        <v>51</v>
      </c>
      <c r="C3" s="50"/>
      <c r="D3" s="50"/>
      <c r="E3" s="50"/>
      <c r="F3" s="50"/>
      <c r="G3" s="50"/>
      <c r="H3" s="50"/>
      <c r="I3" s="50"/>
      <c r="J3" s="50"/>
      <c r="K3" s="50"/>
      <c r="L3" s="51"/>
      <c r="N3" s="48" t="s">
        <v>2</v>
      </c>
      <c r="O3" s="52" t="s">
        <v>51</v>
      </c>
      <c r="P3" s="50"/>
      <c r="Q3" s="50"/>
      <c r="R3" s="50"/>
      <c r="S3" s="50"/>
      <c r="T3" s="50"/>
      <c r="U3" s="50"/>
      <c r="V3" s="50"/>
      <c r="W3" s="50"/>
      <c r="X3" s="50"/>
      <c r="Y3" s="51"/>
      <c r="AA3" s="48" t="s">
        <v>2</v>
      </c>
      <c r="AB3" s="52" t="s">
        <v>51</v>
      </c>
      <c r="AC3" s="50"/>
      <c r="AD3" s="50"/>
      <c r="AE3" s="50"/>
      <c r="AF3" s="50"/>
      <c r="AG3" s="50"/>
      <c r="AH3" s="50"/>
      <c r="AI3" s="50"/>
      <c r="AJ3" s="50"/>
      <c r="AK3" s="50"/>
      <c r="AL3" s="51"/>
    </row>
    <row r="4" spans="1:38" ht="15" x14ac:dyDescent="0.25">
      <c r="A4" s="53"/>
      <c r="B4" s="50"/>
      <c r="C4" s="50"/>
      <c r="D4" s="50"/>
      <c r="E4" s="50"/>
      <c r="F4" s="50"/>
      <c r="G4" s="50"/>
      <c r="H4" s="50"/>
      <c r="I4" s="50"/>
      <c r="J4" s="50"/>
      <c r="K4" s="50"/>
      <c r="L4" s="51"/>
      <c r="N4" s="53"/>
      <c r="O4" s="50"/>
      <c r="P4" s="50"/>
      <c r="Q4" s="50"/>
      <c r="R4" s="50"/>
      <c r="S4" s="50"/>
      <c r="T4" s="50"/>
      <c r="U4" s="50"/>
      <c r="V4" s="50"/>
      <c r="W4" s="50"/>
      <c r="X4" s="50"/>
      <c r="Y4" s="51"/>
      <c r="AA4" s="53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1"/>
    </row>
    <row r="5" spans="1:38" ht="15" x14ac:dyDescent="0.25">
      <c r="A5" s="54" t="s">
        <v>4</v>
      </c>
      <c r="B5" s="50"/>
      <c r="C5" s="52" t="s">
        <v>69</v>
      </c>
      <c r="D5" s="50"/>
      <c r="E5" s="50"/>
      <c r="F5" s="50"/>
      <c r="G5" s="50"/>
      <c r="H5" s="50"/>
      <c r="I5" s="50"/>
      <c r="J5" s="50"/>
      <c r="K5" s="50"/>
      <c r="L5" s="51"/>
      <c r="N5" s="54" t="s">
        <v>4</v>
      </c>
      <c r="O5" s="50"/>
      <c r="P5" s="52" t="s">
        <v>5</v>
      </c>
      <c r="Q5" s="50"/>
      <c r="R5" s="50"/>
      <c r="S5" s="50"/>
      <c r="T5" s="50"/>
      <c r="U5" s="50"/>
      <c r="V5" s="50"/>
      <c r="W5" s="50"/>
      <c r="X5" s="50"/>
      <c r="Y5" s="51"/>
      <c r="AA5" s="54" t="s">
        <v>4</v>
      </c>
      <c r="AB5" s="50"/>
      <c r="AC5" s="52" t="s">
        <v>5</v>
      </c>
      <c r="AD5" s="50"/>
      <c r="AE5" s="50"/>
      <c r="AF5" s="50"/>
      <c r="AG5" s="50"/>
      <c r="AH5" s="50"/>
      <c r="AI5" s="50"/>
      <c r="AJ5" s="50"/>
      <c r="AK5" s="50"/>
      <c r="AL5" s="51"/>
    </row>
    <row r="6" spans="1:38" ht="15" x14ac:dyDescent="0.25">
      <c r="A6" s="54" t="s">
        <v>52</v>
      </c>
      <c r="B6" s="50"/>
      <c r="C6" s="52" t="s">
        <v>56</v>
      </c>
      <c r="D6" s="50"/>
      <c r="E6" s="50"/>
      <c r="F6" s="50"/>
      <c r="G6" s="50"/>
      <c r="H6" s="50"/>
      <c r="I6" s="50"/>
      <c r="J6" s="50"/>
      <c r="K6" s="50"/>
      <c r="L6" s="51"/>
      <c r="N6" s="54" t="s">
        <v>52</v>
      </c>
      <c r="O6" s="50"/>
      <c r="P6" s="52" t="s">
        <v>53</v>
      </c>
      <c r="Q6" s="50"/>
      <c r="R6" s="50"/>
      <c r="S6" s="50"/>
      <c r="T6" s="50"/>
      <c r="U6" s="50"/>
      <c r="V6" s="50"/>
      <c r="W6" s="50"/>
      <c r="X6" s="50"/>
      <c r="Y6" s="51"/>
      <c r="AA6" s="54" t="s">
        <v>52</v>
      </c>
      <c r="AB6" s="50"/>
      <c r="AC6" s="52" t="s">
        <v>57</v>
      </c>
      <c r="AD6" s="50"/>
      <c r="AE6" s="50"/>
      <c r="AF6" s="50"/>
      <c r="AG6" s="50"/>
      <c r="AH6" s="50"/>
      <c r="AI6" s="50"/>
      <c r="AJ6" s="50"/>
      <c r="AK6" s="50"/>
      <c r="AL6" s="51"/>
    </row>
    <row r="7" spans="1:38" ht="15" x14ac:dyDescent="0.25">
      <c r="A7" s="54" t="s">
        <v>8</v>
      </c>
      <c r="B7" s="50"/>
      <c r="C7" s="52" t="s">
        <v>40</v>
      </c>
      <c r="D7" s="50"/>
      <c r="E7" s="50"/>
      <c r="F7" s="50"/>
      <c r="G7" s="50"/>
      <c r="H7" s="50"/>
      <c r="I7" s="50"/>
      <c r="J7" s="50"/>
      <c r="K7" s="50"/>
      <c r="L7" s="51"/>
      <c r="N7" s="54" t="s">
        <v>8</v>
      </c>
      <c r="O7" s="50"/>
      <c r="P7" s="52" t="s">
        <v>40</v>
      </c>
      <c r="Q7" s="50"/>
      <c r="R7" s="50"/>
      <c r="S7" s="50"/>
      <c r="T7" s="50"/>
      <c r="U7" s="50"/>
      <c r="V7" s="50"/>
      <c r="W7" s="50"/>
      <c r="X7" s="50"/>
      <c r="Y7" s="51"/>
      <c r="AA7" s="54" t="s">
        <v>8</v>
      </c>
      <c r="AB7" s="50"/>
      <c r="AC7" s="52" t="s">
        <v>40</v>
      </c>
      <c r="AD7" s="50"/>
      <c r="AE7" s="50"/>
      <c r="AF7" s="50"/>
      <c r="AG7" s="50"/>
      <c r="AH7" s="50"/>
      <c r="AI7" s="50"/>
      <c r="AJ7" s="50"/>
      <c r="AK7" s="50"/>
      <c r="AL7" s="51"/>
    </row>
    <row r="8" spans="1:38" ht="15" x14ac:dyDescent="0.25">
      <c r="A8" s="53"/>
      <c r="B8" s="50"/>
      <c r="C8" s="50"/>
      <c r="D8" s="50"/>
      <c r="E8" s="50"/>
      <c r="F8" s="50"/>
      <c r="G8" s="50"/>
      <c r="H8" s="50"/>
      <c r="I8" s="50"/>
      <c r="J8" s="50"/>
      <c r="K8" s="50"/>
      <c r="L8" s="51"/>
      <c r="N8" s="53"/>
      <c r="O8" s="50"/>
      <c r="P8" s="50"/>
      <c r="Q8" s="50"/>
      <c r="R8" s="50"/>
      <c r="S8" s="50"/>
      <c r="T8" s="50"/>
      <c r="U8" s="50"/>
      <c r="V8" s="50"/>
      <c r="W8" s="50"/>
      <c r="X8" s="50"/>
      <c r="Y8" s="51"/>
      <c r="AA8" s="53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1"/>
    </row>
    <row r="9" spans="1:38" ht="15" x14ac:dyDescent="0.25">
      <c r="A9" s="55" t="s">
        <v>12</v>
      </c>
      <c r="B9" s="37" t="s">
        <v>13</v>
      </c>
      <c r="C9" s="37" t="s">
        <v>14</v>
      </c>
      <c r="D9" s="37" t="s">
        <v>15</v>
      </c>
      <c r="E9" s="37" t="s">
        <v>16</v>
      </c>
      <c r="F9" s="37" t="s">
        <v>17</v>
      </c>
      <c r="G9" s="37" t="s">
        <v>18</v>
      </c>
      <c r="H9" s="37" t="s">
        <v>19</v>
      </c>
      <c r="I9" s="37" t="s">
        <v>20</v>
      </c>
      <c r="J9" s="37" t="s">
        <v>21</v>
      </c>
      <c r="K9" s="37" t="s">
        <v>22</v>
      </c>
      <c r="L9" s="56" t="s">
        <v>23</v>
      </c>
      <c r="N9" s="55" t="s">
        <v>12</v>
      </c>
      <c r="O9" s="37" t="s">
        <v>13</v>
      </c>
      <c r="P9" s="37" t="s">
        <v>14</v>
      </c>
      <c r="Q9" s="37" t="s">
        <v>15</v>
      </c>
      <c r="R9" s="37" t="s">
        <v>16</v>
      </c>
      <c r="S9" s="37" t="s">
        <v>17</v>
      </c>
      <c r="T9" s="37" t="s">
        <v>18</v>
      </c>
      <c r="U9" s="37" t="s">
        <v>19</v>
      </c>
      <c r="V9" s="37" t="s">
        <v>20</v>
      </c>
      <c r="W9" s="37" t="s">
        <v>21</v>
      </c>
      <c r="X9" s="37" t="s">
        <v>22</v>
      </c>
      <c r="Y9" s="56" t="s">
        <v>23</v>
      </c>
      <c r="AA9" s="55" t="s">
        <v>12</v>
      </c>
      <c r="AB9" s="37" t="s">
        <v>13</v>
      </c>
      <c r="AC9" s="37" t="s">
        <v>14</v>
      </c>
      <c r="AD9" s="37" t="s">
        <v>15</v>
      </c>
      <c r="AE9" s="37" t="s">
        <v>16</v>
      </c>
      <c r="AF9" s="37" t="s">
        <v>17</v>
      </c>
      <c r="AG9" s="37" t="s">
        <v>18</v>
      </c>
      <c r="AH9" s="37" t="s">
        <v>19</v>
      </c>
      <c r="AI9" s="37" t="s">
        <v>20</v>
      </c>
      <c r="AJ9" s="37" t="s">
        <v>21</v>
      </c>
      <c r="AK9" s="37" t="s">
        <v>22</v>
      </c>
      <c r="AL9" s="56" t="s">
        <v>23</v>
      </c>
    </row>
    <row r="10" spans="1:38" ht="15" x14ac:dyDescent="0.25">
      <c r="A10" s="57" t="s">
        <v>24</v>
      </c>
      <c r="B10" s="58" t="s">
        <v>25</v>
      </c>
      <c r="C10" s="58" t="s">
        <v>25</v>
      </c>
      <c r="D10" s="58" t="s">
        <v>25</v>
      </c>
      <c r="E10" s="58" t="s">
        <v>25</v>
      </c>
      <c r="F10" s="58" t="s">
        <v>25</v>
      </c>
      <c r="G10" s="58" t="s">
        <v>25</v>
      </c>
      <c r="H10" s="58" t="s">
        <v>25</v>
      </c>
      <c r="I10" s="58" t="s">
        <v>25</v>
      </c>
      <c r="J10" s="58" t="s">
        <v>25</v>
      </c>
      <c r="K10" s="58" t="s">
        <v>25</v>
      </c>
      <c r="L10" s="59" t="s">
        <v>25</v>
      </c>
      <c r="N10" s="57" t="s">
        <v>24</v>
      </c>
      <c r="O10" s="58" t="s">
        <v>25</v>
      </c>
      <c r="P10" s="58" t="s">
        <v>25</v>
      </c>
      <c r="Q10" s="58" t="s">
        <v>25</v>
      </c>
      <c r="R10" s="58" t="s">
        <v>25</v>
      </c>
      <c r="S10" s="58" t="s">
        <v>25</v>
      </c>
      <c r="T10" s="58" t="s">
        <v>25</v>
      </c>
      <c r="U10" s="58" t="s">
        <v>25</v>
      </c>
      <c r="V10" s="58" t="s">
        <v>25</v>
      </c>
      <c r="W10" s="58" t="s">
        <v>25</v>
      </c>
      <c r="X10" s="58" t="s">
        <v>25</v>
      </c>
      <c r="Y10" s="59" t="s">
        <v>25</v>
      </c>
      <c r="AA10" s="57" t="s">
        <v>24</v>
      </c>
      <c r="AB10" s="58" t="s">
        <v>25</v>
      </c>
      <c r="AC10" s="58" t="s">
        <v>25</v>
      </c>
      <c r="AD10" s="58" t="s">
        <v>25</v>
      </c>
      <c r="AE10" s="58" t="s">
        <v>25</v>
      </c>
      <c r="AF10" s="58" t="s">
        <v>25</v>
      </c>
      <c r="AG10" s="58" t="s">
        <v>25</v>
      </c>
      <c r="AH10" s="58" t="s">
        <v>25</v>
      </c>
      <c r="AI10" s="58" t="s">
        <v>25</v>
      </c>
      <c r="AJ10" s="58" t="s">
        <v>25</v>
      </c>
      <c r="AK10" s="58" t="s">
        <v>25</v>
      </c>
      <c r="AL10" s="59" t="s">
        <v>25</v>
      </c>
    </row>
    <row r="11" spans="1:38" ht="15" x14ac:dyDescent="0.25">
      <c r="A11" s="60" t="s">
        <v>67</v>
      </c>
      <c r="B11" s="61">
        <f>IFERROR((O11+O30+O49+O68+AB11+AB30+AB49+AB68),NA())</f>
        <v>4027.0499999999997</v>
      </c>
      <c r="C11" s="61">
        <f t="shared" ref="C11:L11" si="0">IFERROR((P11+P30+P49+P68+AC11+AC30+AC49+AC68),NA())</f>
        <v>2664.22</v>
      </c>
      <c r="D11" s="61">
        <f t="shared" si="0"/>
        <v>2544.61</v>
      </c>
      <c r="E11" s="61">
        <f t="shared" si="0"/>
        <v>2696.1</v>
      </c>
      <c r="F11" s="61">
        <f t="shared" si="0"/>
        <v>2691.21</v>
      </c>
      <c r="G11" s="61">
        <f t="shared" si="0"/>
        <v>2727.2799999999997</v>
      </c>
      <c r="H11" s="61">
        <f t="shared" si="0"/>
        <v>2794.16</v>
      </c>
      <c r="I11" s="61">
        <f t="shared" si="0"/>
        <v>2841.53</v>
      </c>
      <c r="J11" s="61">
        <f t="shared" si="0"/>
        <v>2739.89</v>
      </c>
      <c r="K11" s="61">
        <f t="shared" si="0"/>
        <v>2506.3399999999997</v>
      </c>
      <c r="L11" s="62">
        <f t="shared" si="0"/>
        <v>2390.08</v>
      </c>
      <c r="N11" s="60" t="s">
        <v>26</v>
      </c>
      <c r="O11" s="61">
        <v>0.8</v>
      </c>
      <c r="P11" s="61">
        <v>0.88</v>
      </c>
      <c r="Q11" s="61">
        <v>0.85</v>
      </c>
      <c r="R11" s="61">
        <v>0.86</v>
      </c>
      <c r="S11" s="61">
        <v>0.77</v>
      </c>
      <c r="T11" s="61">
        <v>0.77</v>
      </c>
      <c r="U11" s="61">
        <v>0.8</v>
      </c>
      <c r="V11" s="61">
        <v>0.81</v>
      </c>
      <c r="W11" s="61">
        <v>0.91</v>
      </c>
      <c r="X11" s="61">
        <v>0.89</v>
      </c>
      <c r="Y11" s="62">
        <v>0.76</v>
      </c>
      <c r="AA11" s="60" t="s">
        <v>26</v>
      </c>
      <c r="AB11" s="61">
        <v>69.069999999999993</v>
      </c>
      <c r="AC11" s="61">
        <v>59.86</v>
      </c>
      <c r="AD11" s="61">
        <v>44.7</v>
      </c>
      <c r="AE11" s="61">
        <v>45.32</v>
      </c>
      <c r="AF11" s="61">
        <v>45.16</v>
      </c>
      <c r="AG11" s="61">
        <v>43.88</v>
      </c>
      <c r="AH11" s="61">
        <v>43.28</v>
      </c>
      <c r="AI11" s="61">
        <v>42.2</v>
      </c>
      <c r="AJ11" s="61">
        <v>45.23</v>
      </c>
      <c r="AK11" s="61">
        <v>42.19</v>
      </c>
      <c r="AL11" s="62">
        <v>49.02</v>
      </c>
    </row>
    <row r="12" spans="1:38" ht="15" x14ac:dyDescent="0.25">
      <c r="A12" s="60" t="s">
        <v>27</v>
      </c>
      <c r="B12" s="61">
        <f t="shared" ref="B12:B16" si="1">IFERROR((O12+O31+O50+O69+AB12+AB31+AB50+AB69),NA())</f>
        <v>973.08</v>
      </c>
      <c r="C12" s="61">
        <f t="shared" ref="C12:C16" si="2">IFERROR((P12+P31+P50+P69+AC12+AC31+AC50+AC69),NA())</f>
        <v>1072.6199999999999</v>
      </c>
      <c r="D12" s="61">
        <f t="shared" ref="D12:D16" si="3">IFERROR((Q12+Q31+Q50+Q69+AD12+AD31+AD50+AD69),NA())</f>
        <v>1244.2100000000003</v>
      </c>
      <c r="E12" s="61">
        <f t="shared" ref="E12:E16" si="4">IFERROR((R12+R31+R50+R69+AE12+AE31+AE50+AE69),NA())</f>
        <v>1337.4</v>
      </c>
      <c r="F12" s="61">
        <f t="shared" ref="F12:F16" si="5">IFERROR((S12+S31+S50+S69+AF12+AF31+AF50+AF69),NA())</f>
        <v>1249.6500000000001</v>
      </c>
      <c r="G12" s="61">
        <f t="shared" ref="G12:G16" si="6">IFERROR((T12+T31+T50+T69+AG12+AG31+AG50+AG69),NA())</f>
        <v>1096.6600000000001</v>
      </c>
      <c r="H12" s="61">
        <f t="shared" ref="H12:H16" si="7">IFERROR((U12+U31+U50+U69+AH12+AH31+AH50+AH69),NA())</f>
        <v>1016.76</v>
      </c>
      <c r="I12" s="61">
        <f t="shared" ref="I12:I16" si="8">IFERROR((V12+V31+V50+V69+AI12+AI31+AI50+AI69),NA())</f>
        <v>1090.46</v>
      </c>
      <c r="J12" s="61">
        <f t="shared" ref="J12:J16" si="9">IFERROR((W12+W31+W50+W69+AJ12+AJ31+AJ50+AJ69),NA())</f>
        <v>1111.07</v>
      </c>
      <c r="K12" s="61">
        <f t="shared" ref="K12:K16" si="10">IFERROR((X12+X31+X50+X69+AK12+AK31+AK50+AK69),NA())</f>
        <v>1200.58</v>
      </c>
      <c r="L12" s="62">
        <f t="shared" ref="L12:L16" si="11">IFERROR((Y12+Y31+Y50+Y69+AL12+AL31+AL50+AL69),NA())</f>
        <v>1100.42</v>
      </c>
      <c r="N12" s="60" t="s">
        <v>27</v>
      </c>
      <c r="O12" s="63">
        <v>1.29</v>
      </c>
      <c r="P12" s="63">
        <v>1.36</v>
      </c>
      <c r="Q12" s="63">
        <v>1.58</v>
      </c>
      <c r="R12" s="63">
        <v>1.65</v>
      </c>
      <c r="S12" s="63">
        <v>1.49</v>
      </c>
      <c r="T12" s="63">
        <v>1.28</v>
      </c>
      <c r="U12" s="63">
        <v>0.96</v>
      </c>
      <c r="V12" s="63">
        <v>0.79</v>
      </c>
      <c r="W12" s="63">
        <v>0.75</v>
      </c>
      <c r="X12" s="63">
        <v>0.72</v>
      </c>
      <c r="Y12" s="64">
        <v>0.88</v>
      </c>
      <c r="AA12" s="60" t="s">
        <v>27</v>
      </c>
      <c r="AB12" s="63">
        <v>6.1</v>
      </c>
      <c r="AC12" s="63">
        <v>8.33</v>
      </c>
      <c r="AD12" s="63">
        <v>4.59</v>
      </c>
      <c r="AE12" s="63">
        <v>3.91</v>
      </c>
      <c r="AF12" s="63">
        <v>4.38</v>
      </c>
      <c r="AG12" s="63">
        <v>4.25</v>
      </c>
      <c r="AH12" s="63">
        <v>4.26</v>
      </c>
      <c r="AI12" s="63">
        <v>5.0999999999999996</v>
      </c>
      <c r="AJ12" s="63">
        <v>4.57</v>
      </c>
      <c r="AK12" s="63">
        <v>4.21</v>
      </c>
      <c r="AL12" s="64">
        <v>3.94</v>
      </c>
    </row>
    <row r="13" spans="1:38" ht="15" x14ac:dyDescent="0.25">
      <c r="A13" s="60" t="s">
        <v>28</v>
      </c>
      <c r="B13" s="61">
        <f t="shared" si="1"/>
        <v>1275.7100000000003</v>
      </c>
      <c r="C13" s="61">
        <f t="shared" si="2"/>
        <v>1254.82</v>
      </c>
      <c r="D13" s="61">
        <f t="shared" si="3"/>
        <v>1031.19</v>
      </c>
      <c r="E13" s="61">
        <f t="shared" si="4"/>
        <v>977.39</v>
      </c>
      <c r="F13" s="61">
        <f t="shared" si="5"/>
        <v>995.17000000000007</v>
      </c>
      <c r="G13" s="61">
        <f t="shared" si="6"/>
        <v>978.35</v>
      </c>
      <c r="H13" s="61">
        <f t="shared" si="7"/>
        <v>1049.6699999999998</v>
      </c>
      <c r="I13" s="61">
        <f t="shared" si="8"/>
        <v>1037.3</v>
      </c>
      <c r="J13" s="61">
        <f t="shared" si="9"/>
        <v>916.82999999999993</v>
      </c>
      <c r="K13" s="61">
        <f t="shared" si="10"/>
        <v>891.34</v>
      </c>
      <c r="L13" s="62">
        <f t="shared" si="11"/>
        <v>908.24</v>
      </c>
      <c r="N13" s="60" t="s">
        <v>28</v>
      </c>
      <c r="O13" s="61">
        <v>0.89</v>
      </c>
      <c r="P13" s="61">
        <v>0.89</v>
      </c>
      <c r="Q13" s="61">
        <v>0.86</v>
      </c>
      <c r="R13" s="61">
        <v>0.82</v>
      </c>
      <c r="S13" s="61">
        <v>0.78</v>
      </c>
      <c r="T13" s="61">
        <v>0.65</v>
      </c>
      <c r="U13" s="61">
        <v>0.69</v>
      </c>
      <c r="V13" s="61">
        <v>0.65</v>
      </c>
      <c r="W13" s="61">
        <v>0.63</v>
      </c>
      <c r="X13" s="61">
        <v>0.66</v>
      </c>
      <c r="Y13" s="62">
        <v>0.62</v>
      </c>
      <c r="AA13" s="60" t="s">
        <v>28</v>
      </c>
      <c r="AB13" s="61">
        <v>23.84</v>
      </c>
      <c r="AC13" s="61">
        <v>21.03</v>
      </c>
      <c r="AD13" s="61">
        <v>21.41</v>
      </c>
      <c r="AE13" s="61">
        <v>21.2</v>
      </c>
      <c r="AF13" s="61">
        <v>19.239999999999998</v>
      </c>
      <c r="AG13" s="61">
        <v>19.100000000000001</v>
      </c>
      <c r="AH13" s="61">
        <v>20.36</v>
      </c>
      <c r="AI13" s="61">
        <v>16.14</v>
      </c>
      <c r="AJ13" s="61">
        <v>18.79</v>
      </c>
      <c r="AK13" s="61">
        <v>20.34</v>
      </c>
      <c r="AL13" s="62">
        <v>24.89</v>
      </c>
    </row>
    <row r="14" spans="1:38" ht="15" x14ac:dyDescent="0.25">
      <c r="A14" s="60" t="s">
        <v>29</v>
      </c>
      <c r="B14" s="61">
        <f t="shared" si="1"/>
        <v>2496.7600000000002</v>
      </c>
      <c r="C14" s="61">
        <f t="shared" si="2"/>
        <v>3214.8799999999997</v>
      </c>
      <c r="D14" s="61">
        <f t="shared" si="3"/>
        <v>2914.6099999999997</v>
      </c>
      <c r="E14" s="61">
        <f t="shared" si="4"/>
        <v>2915.5299999999997</v>
      </c>
      <c r="F14" s="61">
        <f t="shared" si="5"/>
        <v>2955.87</v>
      </c>
      <c r="G14" s="61">
        <f t="shared" si="6"/>
        <v>3309.07</v>
      </c>
      <c r="H14" s="61">
        <f t="shared" si="7"/>
        <v>3339.51</v>
      </c>
      <c r="I14" s="61">
        <f t="shared" si="8"/>
        <v>3261.52</v>
      </c>
      <c r="J14" s="61">
        <f t="shared" si="9"/>
        <v>3563.0699999999997</v>
      </c>
      <c r="K14" s="61" t="e">
        <f t="shared" si="10"/>
        <v>#N/A</v>
      </c>
      <c r="L14" s="62" t="e">
        <f t="shared" si="11"/>
        <v>#N/A</v>
      </c>
      <c r="N14" s="60" t="s">
        <v>29</v>
      </c>
      <c r="O14" s="63">
        <v>1.52</v>
      </c>
      <c r="P14" s="63">
        <v>1.25</v>
      </c>
      <c r="Q14" s="63">
        <v>1.23</v>
      </c>
      <c r="R14" s="63">
        <v>1.35</v>
      </c>
      <c r="S14" s="63">
        <v>1.25</v>
      </c>
      <c r="T14" s="63">
        <v>1.22</v>
      </c>
      <c r="U14" s="63">
        <v>1.1599999999999999</v>
      </c>
      <c r="V14" s="63">
        <v>1.55</v>
      </c>
      <c r="W14" s="63">
        <v>1.33</v>
      </c>
      <c r="X14" s="63">
        <v>1.22</v>
      </c>
      <c r="Y14" s="64">
        <v>1.1599999999999999</v>
      </c>
      <c r="AA14" s="60" t="s">
        <v>29</v>
      </c>
      <c r="AB14" s="63">
        <v>37.54</v>
      </c>
      <c r="AC14" s="63">
        <v>36.14</v>
      </c>
      <c r="AD14" s="63">
        <v>35.51</v>
      </c>
      <c r="AE14" s="63">
        <v>36.74</v>
      </c>
      <c r="AF14" s="63">
        <v>41.03</v>
      </c>
      <c r="AG14" s="63">
        <v>42.34</v>
      </c>
      <c r="AH14" s="63">
        <v>46.95</v>
      </c>
      <c r="AI14" s="63">
        <v>50.06</v>
      </c>
      <c r="AJ14" s="63">
        <v>56.24</v>
      </c>
      <c r="AK14" s="63">
        <v>62.25</v>
      </c>
      <c r="AL14" s="64">
        <v>73.819999999999993</v>
      </c>
    </row>
    <row r="15" spans="1:38" ht="15" x14ac:dyDescent="0.25">
      <c r="A15" s="60" t="s">
        <v>30</v>
      </c>
      <c r="B15" s="61">
        <f t="shared" si="1"/>
        <v>3529.9599999999996</v>
      </c>
      <c r="C15" s="61">
        <f t="shared" si="2"/>
        <v>3511.47</v>
      </c>
      <c r="D15" s="61">
        <f t="shared" si="3"/>
        <v>3027.9799999999996</v>
      </c>
      <c r="E15" s="61">
        <f t="shared" si="4"/>
        <v>2900.58</v>
      </c>
      <c r="F15" s="61">
        <f t="shared" si="5"/>
        <v>2925.8599999999997</v>
      </c>
      <c r="G15" s="61">
        <f t="shared" si="6"/>
        <v>3322.91</v>
      </c>
      <c r="H15" s="61">
        <f t="shared" si="7"/>
        <v>3211.91</v>
      </c>
      <c r="I15" s="61">
        <f t="shared" si="8"/>
        <v>3065.2</v>
      </c>
      <c r="J15" s="61">
        <f t="shared" si="9"/>
        <v>3125.3900000000003</v>
      </c>
      <c r="K15" s="61">
        <f t="shared" si="10"/>
        <v>2824.58</v>
      </c>
      <c r="L15" s="62">
        <f t="shared" si="11"/>
        <v>2526.61</v>
      </c>
      <c r="N15" s="60" t="s">
        <v>30</v>
      </c>
      <c r="O15" s="61">
        <v>0.7</v>
      </c>
      <c r="P15" s="61">
        <v>0.61</v>
      </c>
      <c r="Q15" s="61">
        <v>0.73</v>
      </c>
      <c r="R15" s="61">
        <v>0.96</v>
      </c>
      <c r="S15" s="61">
        <v>1.05</v>
      </c>
      <c r="T15" s="61">
        <v>0.75</v>
      </c>
      <c r="U15" s="61">
        <v>0.51</v>
      </c>
      <c r="V15" s="61">
        <v>0.49</v>
      </c>
      <c r="W15" s="61">
        <v>0.56000000000000005</v>
      </c>
      <c r="X15" s="61">
        <v>0.7</v>
      </c>
      <c r="Y15" s="62">
        <v>0.83</v>
      </c>
      <c r="AA15" s="60" t="s">
        <v>30</v>
      </c>
      <c r="AB15" s="61">
        <v>50.37</v>
      </c>
      <c r="AC15" s="61">
        <v>46.02</v>
      </c>
      <c r="AD15" s="61">
        <v>41.86</v>
      </c>
      <c r="AE15" s="61">
        <v>47.25</v>
      </c>
      <c r="AF15" s="61">
        <v>48.05</v>
      </c>
      <c r="AG15" s="61">
        <v>44.72</v>
      </c>
      <c r="AH15" s="61">
        <v>41.9</v>
      </c>
      <c r="AI15" s="61">
        <v>40.57</v>
      </c>
      <c r="AJ15" s="61">
        <v>50.53</v>
      </c>
      <c r="AK15" s="61">
        <v>48.48</v>
      </c>
      <c r="AL15" s="62">
        <v>50.16</v>
      </c>
    </row>
    <row r="16" spans="1:38" ht="15" x14ac:dyDescent="0.25">
      <c r="A16" s="60" t="s">
        <v>31</v>
      </c>
      <c r="B16" s="61">
        <f t="shared" si="1"/>
        <v>1979.62</v>
      </c>
      <c r="C16" s="61">
        <f t="shared" si="2"/>
        <v>1885.8600000000001</v>
      </c>
      <c r="D16" s="61">
        <f t="shared" si="3"/>
        <v>1649.4499999999998</v>
      </c>
      <c r="E16" s="61">
        <f t="shared" si="4"/>
        <v>1690.07</v>
      </c>
      <c r="F16" s="61">
        <f t="shared" si="5"/>
        <v>1637.5800000000002</v>
      </c>
      <c r="G16" s="61">
        <f t="shared" si="6"/>
        <v>1504.8999999999999</v>
      </c>
      <c r="H16" s="61">
        <f t="shared" si="7"/>
        <v>1432.19</v>
      </c>
      <c r="I16" s="61">
        <f t="shared" si="8"/>
        <v>1464.83</v>
      </c>
      <c r="J16" s="61">
        <f t="shared" si="9"/>
        <v>1333.6</v>
      </c>
      <c r="K16" s="61">
        <f t="shared" si="10"/>
        <v>1292.6699999999998</v>
      </c>
      <c r="L16" s="62">
        <f t="shared" si="11"/>
        <v>1271.81</v>
      </c>
      <c r="N16" s="60" t="s">
        <v>31</v>
      </c>
      <c r="O16" s="63">
        <v>1.17</v>
      </c>
      <c r="P16" s="63">
        <v>1.23</v>
      </c>
      <c r="Q16" s="63">
        <v>1.17</v>
      </c>
      <c r="R16" s="63">
        <v>1.08</v>
      </c>
      <c r="S16" s="63">
        <v>1.1599999999999999</v>
      </c>
      <c r="T16" s="63">
        <v>1.37</v>
      </c>
      <c r="U16" s="63">
        <v>0.88</v>
      </c>
      <c r="V16" s="63">
        <v>0.96</v>
      </c>
      <c r="W16" s="63">
        <v>0.64</v>
      </c>
      <c r="X16" s="63">
        <v>0.74</v>
      </c>
      <c r="Y16" s="64">
        <v>0.79</v>
      </c>
      <c r="AA16" s="60" t="s">
        <v>31</v>
      </c>
      <c r="AB16" s="63">
        <v>21.33</v>
      </c>
      <c r="AC16" s="63">
        <v>24.2</v>
      </c>
      <c r="AD16" s="63">
        <v>20.86</v>
      </c>
      <c r="AE16" s="63">
        <v>20.64</v>
      </c>
      <c r="AF16" s="63">
        <v>20.239999999999998</v>
      </c>
      <c r="AG16" s="63">
        <v>20.37</v>
      </c>
      <c r="AH16" s="63">
        <v>22.35</v>
      </c>
      <c r="AI16" s="63">
        <v>23.57</v>
      </c>
      <c r="AJ16" s="63">
        <v>23.91</v>
      </c>
      <c r="AK16" s="63">
        <v>24.62</v>
      </c>
      <c r="AL16" s="64">
        <v>23.93</v>
      </c>
    </row>
    <row r="17" spans="1:38" ht="11.45" customHeight="1" x14ac:dyDescent="0.25">
      <c r="A17" s="53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1"/>
      <c r="N17" s="53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1"/>
      <c r="AA17" s="53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1"/>
    </row>
    <row r="18" spans="1:38" ht="15" x14ac:dyDescent="0.25">
      <c r="A18" s="54" t="s">
        <v>32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1"/>
      <c r="N18" s="54" t="s">
        <v>32</v>
      </c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1"/>
      <c r="AA18" s="54" t="s">
        <v>32</v>
      </c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1"/>
    </row>
    <row r="19" spans="1:38" ht="15.75" thickBot="1" x14ac:dyDescent="0.3">
      <c r="A19" s="65" t="e">
        <v>#N/A</v>
      </c>
      <c r="B19" s="66" t="s">
        <v>34</v>
      </c>
      <c r="C19" s="67"/>
      <c r="D19" s="67"/>
      <c r="E19" s="67"/>
      <c r="F19" s="67"/>
      <c r="G19" s="67"/>
      <c r="H19" s="67"/>
      <c r="I19" s="67"/>
      <c r="J19" s="67"/>
      <c r="K19" s="67"/>
      <c r="L19" s="68"/>
      <c r="N19" s="65" t="s">
        <v>33</v>
      </c>
      <c r="O19" s="66" t="s">
        <v>34</v>
      </c>
      <c r="P19" s="67"/>
      <c r="Q19" s="67"/>
      <c r="R19" s="67"/>
      <c r="S19" s="67"/>
      <c r="T19" s="67"/>
      <c r="U19" s="67"/>
      <c r="V19" s="67"/>
      <c r="W19" s="67"/>
      <c r="X19" s="67"/>
      <c r="Y19" s="68"/>
      <c r="AA19" s="65" t="s">
        <v>33</v>
      </c>
      <c r="AB19" s="66" t="s">
        <v>34</v>
      </c>
      <c r="AC19" s="67"/>
      <c r="AD19" s="67"/>
      <c r="AE19" s="67"/>
      <c r="AF19" s="67"/>
      <c r="AG19" s="67"/>
      <c r="AH19" s="67"/>
      <c r="AI19" s="67"/>
      <c r="AJ19" s="67"/>
      <c r="AK19" s="67"/>
      <c r="AL19" s="68"/>
    </row>
    <row r="20" spans="1:38" ht="11.45" customHeight="1" x14ac:dyDescent="0.25">
      <c r="N20" s="13" t="s">
        <v>49</v>
      </c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7"/>
      <c r="AA20" s="13" t="s">
        <v>49</v>
      </c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7"/>
    </row>
    <row r="21" spans="1:38" ht="11.45" customHeight="1" x14ac:dyDescent="0.25">
      <c r="I21" s="72"/>
      <c r="N21" s="48" t="s">
        <v>1</v>
      </c>
      <c r="O21" s="49" t="s">
        <v>50</v>
      </c>
      <c r="P21" s="50"/>
      <c r="Q21" s="50"/>
      <c r="R21" s="50"/>
      <c r="S21" s="50"/>
      <c r="T21" s="50"/>
      <c r="U21" s="50"/>
      <c r="V21" s="50"/>
      <c r="W21" s="50"/>
      <c r="X21" s="50"/>
      <c r="Y21" s="51"/>
      <c r="AA21" s="48" t="s">
        <v>1</v>
      </c>
      <c r="AB21" s="49" t="s">
        <v>50</v>
      </c>
      <c r="AC21" s="50"/>
      <c r="AD21" s="50"/>
      <c r="AE21" s="50"/>
      <c r="AF21" s="50"/>
      <c r="AG21" s="50"/>
      <c r="AH21" s="50"/>
      <c r="AI21" s="50"/>
      <c r="AJ21" s="50"/>
      <c r="AK21" s="50"/>
      <c r="AL21" s="51"/>
    </row>
    <row r="22" spans="1:38" ht="11.45" customHeight="1" x14ac:dyDescent="0.25">
      <c r="N22" s="48" t="s">
        <v>2</v>
      </c>
      <c r="O22" s="52" t="s">
        <v>51</v>
      </c>
      <c r="P22" s="50"/>
      <c r="Q22" s="50"/>
      <c r="R22" s="50"/>
      <c r="S22" s="50"/>
      <c r="T22" s="50"/>
      <c r="U22" s="50"/>
      <c r="V22" s="50"/>
      <c r="W22" s="50"/>
      <c r="X22" s="50"/>
      <c r="Y22" s="51"/>
      <c r="AA22" s="48" t="s">
        <v>2</v>
      </c>
      <c r="AB22" s="52" t="s">
        <v>51</v>
      </c>
      <c r="AC22" s="50"/>
      <c r="AD22" s="50"/>
      <c r="AE22" s="50"/>
      <c r="AF22" s="50"/>
      <c r="AG22" s="50"/>
      <c r="AH22" s="50"/>
      <c r="AI22" s="50"/>
      <c r="AJ22" s="50"/>
      <c r="AK22" s="50"/>
      <c r="AL22" s="51"/>
    </row>
    <row r="23" spans="1:38" ht="11.45" customHeight="1" x14ac:dyDescent="0.25">
      <c r="N23" s="53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1"/>
      <c r="AA23" s="53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1"/>
    </row>
    <row r="24" spans="1:38" ht="11.45" customHeight="1" x14ac:dyDescent="0.25">
      <c r="N24" s="54" t="s">
        <v>4</v>
      </c>
      <c r="O24" s="50"/>
      <c r="P24" s="52" t="s">
        <v>5</v>
      </c>
      <c r="Q24" s="50"/>
      <c r="R24" s="50"/>
      <c r="S24" s="50"/>
      <c r="T24" s="50"/>
      <c r="U24" s="50"/>
      <c r="V24" s="50"/>
      <c r="W24" s="50"/>
      <c r="X24" s="50"/>
      <c r="Y24" s="51"/>
      <c r="AA24" s="54" t="s">
        <v>4</v>
      </c>
      <c r="AB24" s="50"/>
      <c r="AC24" s="52" t="s">
        <v>5</v>
      </c>
      <c r="AD24" s="50"/>
      <c r="AE24" s="50"/>
      <c r="AF24" s="50"/>
      <c r="AG24" s="50"/>
      <c r="AH24" s="50"/>
      <c r="AI24" s="50"/>
      <c r="AJ24" s="50"/>
      <c r="AK24" s="50"/>
      <c r="AL24" s="51"/>
    </row>
    <row r="25" spans="1:38" ht="11.45" customHeight="1" x14ac:dyDescent="0.25">
      <c r="N25" s="54" t="s">
        <v>52</v>
      </c>
      <c r="O25" s="50"/>
      <c r="P25" s="52" t="s">
        <v>54</v>
      </c>
      <c r="Q25" s="50"/>
      <c r="R25" s="50"/>
      <c r="S25" s="50"/>
      <c r="T25" s="50"/>
      <c r="U25" s="50"/>
      <c r="V25" s="50"/>
      <c r="W25" s="50"/>
      <c r="X25" s="50"/>
      <c r="Y25" s="51"/>
      <c r="AA25" s="54" t="s">
        <v>52</v>
      </c>
      <c r="AB25" s="50"/>
      <c r="AC25" s="52" t="s">
        <v>59</v>
      </c>
      <c r="AD25" s="50"/>
      <c r="AE25" s="50"/>
      <c r="AF25" s="50"/>
      <c r="AG25" s="50"/>
      <c r="AH25" s="50"/>
      <c r="AI25" s="50"/>
      <c r="AJ25" s="50"/>
      <c r="AK25" s="50"/>
      <c r="AL25" s="51"/>
    </row>
    <row r="26" spans="1:38" ht="11.45" customHeight="1" x14ac:dyDescent="0.25">
      <c r="N26" s="54" t="s">
        <v>8</v>
      </c>
      <c r="O26" s="50"/>
      <c r="P26" s="52" t="s">
        <v>40</v>
      </c>
      <c r="Q26" s="50"/>
      <c r="R26" s="50"/>
      <c r="S26" s="50"/>
      <c r="T26" s="50"/>
      <c r="U26" s="50"/>
      <c r="V26" s="50"/>
      <c r="W26" s="50"/>
      <c r="X26" s="50"/>
      <c r="Y26" s="51"/>
      <c r="AA26" s="54" t="s">
        <v>8</v>
      </c>
      <c r="AB26" s="50"/>
      <c r="AC26" s="52" t="s">
        <v>40</v>
      </c>
      <c r="AD26" s="50"/>
      <c r="AE26" s="50"/>
      <c r="AF26" s="50"/>
      <c r="AG26" s="50"/>
      <c r="AH26" s="50"/>
      <c r="AI26" s="50"/>
      <c r="AJ26" s="50"/>
      <c r="AK26" s="50"/>
      <c r="AL26" s="51"/>
    </row>
    <row r="27" spans="1:38" ht="11.45" customHeight="1" x14ac:dyDescent="0.25">
      <c r="N27" s="53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1"/>
      <c r="AA27" s="53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1"/>
    </row>
    <row r="28" spans="1:38" ht="11.45" customHeight="1" x14ac:dyDescent="0.25">
      <c r="N28" s="55" t="s">
        <v>12</v>
      </c>
      <c r="O28" s="37" t="s">
        <v>13</v>
      </c>
      <c r="P28" s="37" t="s">
        <v>14</v>
      </c>
      <c r="Q28" s="37" t="s">
        <v>15</v>
      </c>
      <c r="R28" s="37" t="s">
        <v>16</v>
      </c>
      <c r="S28" s="37" t="s">
        <v>17</v>
      </c>
      <c r="T28" s="37" t="s">
        <v>18</v>
      </c>
      <c r="U28" s="37" t="s">
        <v>19</v>
      </c>
      <c r="V28" s="37" t="s">
        <v>20</v>
      </c>
      <c r="W28" s="37" t="s">
        <v>21</v>
      </c>
      <c r="X28" s="37" t="s">
        <v>22</v>
      </c>
      <c r="Y28" s="56" t="s">
        <v>23</v>
      </c>
      <c r="AA28" s="55" t="s">
        <v>12</v>
      </c>
      <c r="AB28" s="37" t="s">
        <v>13</v>
      </c>
      <c r="AC28" s="37" t="s">
        <v>14</v>
      </c>
      <c r="AD28" s="37" t="s">
        <v>15</v>
      </c>
      <c r="AE28" s="37" t="s">
        <v>16</v>
      </c>
      <c r="AF28" s="37" t="s">
        <v>17</v>
      </c>
      <c r="AG28" s="37" t="s">
        <v>18</v>
      </c>
      <c r="AH28" s="37" t="s">
        <v>19</v>
      </c>
      <c r="AI28" s="37" t="s">
        <v>20</v>
      </c>
      <c r="AJ28" s="37" t="s">
        <v>21</v>
      </c>
      <c r="AK28" s="37" t="s">
        <v>22</v>
      </c>
      <c r="AL28" s="56" t="s">
        <v>23</v>
      </c>
    </row>
    <row r="29" spans="1:38" ht="11.45" customHeight="1" x14ac:dyDescent="0.25">
      <c r="N29" s="57" t="s">
        <v>24</v>
      </c>
      <c r="O29" s="58" t="s">
        <v>25</v>
      </c>
      <c r="P29" s="58" t="s">
        <v>25</v>
      </c>
      <c r="Q29" s="58" t="s">
        <v>25</v>
      </c>
      <c r="R29" s="58" t="s">
        <v>25</v>
      </c>
      <c r="S29" s="58" t="s">
        <v>25</v>
      </c>
      <c r="T29" s="58" t="s">
        <v>25</v>
      </c>
      <c r="U29" s="58" t="s">
        <v>25</v>
      </c>
      <c r="V29" s="58" t="s">
        <v>25</v>
      </c>
      <c r="W29" s="58" t="s">
        <v>25</v>
      </c>
      <c r="X29" s="58" t="s">
        <v>25</v>
      </c>
      <c r="Y29" s="59" t="s">
        <v>25</v>
      </c>
      <c r="AA29" s="57" t="s">
        <v>24</v>
      </c>
      <c r="AB29" s="58" t="s">
        <v>25</v>
      </c>
      <c r="AC29" s="58" t="s">
        <v>25</v>
      </c>
      <c r="AD29" s="58" t="s">
        <v>25</v>
      </c>
      <c r="AE29" s="58" t="s">
        <v>25</v>
      </c>
      <c r="AF29" s="58" t="s">
        <v>25</v>
      </c>
      <c r="AG29" s="58" t="s">
        <v>25</v>
      </c>
      <c r="AH29" s="58" t="s">
        <v>25</v>
      </c>
      <c r="AI29" s="58" t="s">
        <v>25</v>
      </c>
      <c r="AJ29" s="58" t="s">
        <v>25</v>
      </c>
      <c r="AK29" s="58" t="s">
        <v>25</v>
      </c>
      <c r="AL29" s="59" t="s">
        <v>25</v>
      </c>
    </row>
    <row r="30" spans="1:38" ht="11.45" customHeight="1" x14ac:dyDescent="0.25">
      <c r="N30" s="60" t="s">
        <v>26</v>
      </c>
      <c r="O30" s="61">
        <v>630.64</v>
      </c>
      <c r="P30" s="61">
        <v>182.07</v>
      </c>
      <c r="Q30" s="61">
        <v>174.69</v>
      </c>
      <c r="R30" s="61">
        <v>173.38</v>
      </c>
      <c r="S30" s="61">
        <v>169.4</v>
      </c>
      <c r="T30" s="61">
        <v>158.80000000000001</v>
      </c>
      <c r="U30" s="61">
        <v>155.69999999999999</v>
      </c>
      <c r="V30" s="61">
        <v>156.9</v>
      </c>
      <c r="W30" s="61">
        <v>170.41</v>
      </c>
      <c r="X30" s="61">
        <v>166.09</v>
      </c>
      <c r="Y30" s="62">
        <v>165.14</v>
      </c>
      <c r="AA30" s="60" t="s">
        <v>26</v>
      </c>
      <c r="AB30" s="61">
        <v>474.8</v>
      </c>
      <c r="AC30" s="61">
        <v>471.51</v>
      </c>
      <c r="AD30" s="61">
        <v>485.73</v>
      </c>
      <c r="AE30" s="61">
        <v>525.1</v>
      </c>
      <c r="AF30" s="61">
        <v>535.57000000000005</v>
      </c>
      <c r="AG30" s="61">
        <v>543.34</v>
      </c>
      <c r="AH30" s="61">
        <v>552.29</v>
      </c>
      <c r="AI30" s="61">
        <v>571.36</v>
      </c>
      <c r="AJ30" s="61">
        <v>526.59</v>
      </c>
      <c r="AK30" s="61">
        <v>442.53</v>
      </c>
      <c r="AL30" s="62">
        <v>394.25</v>
      </c>
    </row>
    <row r="31" spans="1:38" ht="11.45" customHeight="1" x14ac:dyDescent="0.25">
      <c r="N31" s="60" t="s">
        <v>27</v>
      </c>
      <c r="O31" s="63">
        <v>3.89</v>
      </c>
      <c r="P31" s="63">
        <v>4.3</v>
      </c>
      <c r="Q31" s="63">
        <v>9.9</v>
      </c>
      <c r="R31" s="63">
        <v>12.81</v>
      </c>
      <c r="S31" s="63">
        <v>15.26</v>
      </c>
      <c r="T31" s="63">
        <v>14.63</v>
      </c>
      <c r="U31" s="63">
        <v>13.35</v>
      </c>
      <c r="V31" s="63">
        <v>14.96</v>
      </c>
      <c r="W31" s="63">
        <v>14.05</v>
      </c>
      <c r="X31" s="63">
        <v>14.02</v>
      </c>
      <c r="Y31" s="64">
        <v>14.77</v>
      </c>
      <c r="AA31" s="60" t="s">
        <v>27</v>
      </c>
      <c r="AB31" s="63">
        <v>334.56</v>
      </c>
      <c r="AC31" s="63">
        <v>359.02</v>
      </c>
      <c r="AD31" s="63">
        <v>471.35</v>
      </c>
      <c r="AE31" s="63">
        <v>536.02</v>
      </c>
      <c r="AF31" s="63">
        <v>518.44000000000005</v>
      </c>
      <c r="AG31" s="63">
        <v>446.74</v>
      </c>
      <c r="AH31" s="63">
        <v>399.45</v>
      </c>
      <c r="AI31" s="63">
        <v>421.76</v>
      </c>
      <c r="AJ31" s="63">
        <v>414.35</v>
      </c>
      <c r="AK31" s="63">
        <v>392.34</v>
      </c>
      <c r="AL31" s="64">
        <v>370.89</v>
      </c>
    </row>
    <row r="32" spans="1:38" ht="11.45" customHeight="1" x14ac:dyDescent="0.25">
      <c r="N32" s="60" t="s">
        <v>28</v>
      </c>
      <c r="O32" s="61">
        <v>159.41</v>
      </c>
      <c r="P32" s="61">
        <v>174.98</v>
      </c>
      <c r="Q32" s="61">
        <v>53.94</v>
      </c>
      <c r="R32" s="61">
        <v>39.19</v>
      </c>
      <c r="S32" s="61">
        <v>37.06</v>
      </c>
      <c r="T32" s="61">
        <v>35.74</v>
      </c>
      <c r="U32" s="61">
        <v>36.07</v>
      </c>
      <c r="V32" s="61">
        <v>62.55</v>
      </c>
      <c r="W32" s="61">
        <v>37.32</v>
      </c>
      <c r="X32" s="61">
        <v>38.869999999999997</v>
      </c>
      <c r="Y32" s="62">
        <v>39.200000000000003</v>
      </c>
      <c r="AA32" s="60" t="s">
        <v>28</v>
      </c>
      <c r="AB32" s="61">
        <v>382.67</v>
      </c>
      <c r="AC32" s="61">
        <v>414.91</v>
      </c>
      <c r="AD32" s="61">
        <v>431.07</v>
      </c>
      <c r="AE32" s="61">
        <v>362.96</v>
      </c>
      <c r="AF32" s="61">
        <v>347.45</v>
      </c>
      <c r="AG32" s="61">
        <v>358.07</v>
      </c>
      <c r="AH32" s="61">
        <v>477.38</v>
      </c>
      <c r="AI32" s="61">
        <v>349.79</v>
      </c>
      <c r="AJ32" s="61">
        <v>346.37</v>
      </c>
      <c r="AK32" s="61">
        <v>321.64</v>
      </c>
      <c r="AL32" s="62">
        <v>323.33999999999997</v>
      </c>
    </row>
    <row r="33" spans="14:38" ht="11.45" customHeight="1" x14ac:dyDescent="0.25">
      <c r="N33" s="60" t="s">
        <v>29</v>
      </c>
      <c r="O33" s="63">
        <v>293.62</v>
      </c>
      <c r="P33" s="63">
        <v>342.07</v>
      </c>
      <c r="Q33" s="63">
        <v>358.67</v>
      </c>
      <c r="R33" s="63">
        <v>355.97</v>
      </c>
      <c r="S33" s="69">
        <v>355</v>
      </c>
      <c r="T33" s="63">
        <v>355.64</v>
      </c>
      <c r="U33" s="63">
        <v>360.8</v>
      </c>
      <c r="V33" s="63">
        <v>364.25</v>
      </c>
      <c r="W33" s="63">
        <v>363.86</v>
      </c>
      <c r="X33" s="69" t="s">
        <v>33</v>
      </c>
      <c r="Y33" s="70" t="s">
        <v>33</v>
      </c>
      <c r="AA33" s="60" t="s">
        <v>29</v>
      </c>
      <c r="AB33" s="63">
        <v>480.8</v>
      </c>
      <c r="AC33" s="63">
        <v>497.93</v>
      </c>
      <c r="AD33" s="63">
        <v>506.24</v>
      </c>
      <c r="AE33" s="63">
        <v>531.71</v>
      </c>
      <c r="AF33" s="63">
        <v>558.33000000000004</v>
      </c>
      <c r="AG33" s="63">
        <v>587.66999999999996</v>
      </c>
      <c r="AH33" s="63">
        <v>574.98</v>
      </c>
      <c r="AI33" s="63">
        <v>570.41</v>
      </c>
      <c r="AJ33" s="63">
        <v>573.55999999999995</v>
      </c>
      <c r="AK33" s="69" t="s">
        <v>33</v>
      </c>
      <c r="AL33" s="70" t="s">
        <v>33</v>
      </c>
    </row>
    <row r="34" spans="14:38" ht="11.45" customHeight="1" x14ac:dyDescent="0.25">
      <c r="N34" s="60" t="s">
        <v>30</v>
      </c>
      <c r="O34" s="61">
        <v>47.48</v>
      </c>
      <c r="P34" s="61">
        <v>48.27</v>
      </c>
      <c r="Q34" s="61">
        <v>43.18</v>
      </c>
      <c r="R34" s="61">
        <v>46.53</v>
      </c>
      <c r="S34" s="61">
        <v>47.93</v>
      </c>
      <c r="T34" s="61">
        <v>39.36</v>
      </c>
      <c r="U34" s="61">
        <v>37.97</v>
      </c>
      <c r="V34" s="61">
        <v>40.31</v>
      </c>
      <c r="W34" s="61">
        <v>43.6</v>
      </c>
      <c r="X34" s="61">
        <v>41.32</v>
      </c>
      <c r="Y34" s="62">
        <v>42.06</v>
      </c>
      <c r="AA34" s="60" t="s">
        <v>30</v>
      </c>
      <c r="AB34" s="61">
        <v>1255.3699999999999</v>
      </c>
      <c r="AC34" s="61">
        <v>1288.6300000000001</v>
      </c>
      <c r="AD34" s="61">
        <v>1059.77</v>
      </c>
      <c r="AE34" s="61">
        <v>1006.27</v>
      </c>
      <c r="AF34" s="61">
        <v>1013.76</v>
      </c>
      <c r="AG34" s="61">
        <v>1049.51</v>
      </c>
      <c r="AH34" s="61">
        <v>1004.91</v>
      </c>
      <c r="AI34" s="61">
        <v>922.92</v>
      </c>
      <c r="AJ34" s="61">
        <v>926.38</v>
      </c>
      <c r="AK34" s="61">
        <v>789.47</v>
      </c>
      <c r="AL34" s="62">
        <v>664.65</v>
      </c>
    </row>
    <row r="35" spans="14:38" ht="11.45" customHeight="1" x14ac:dyDescent="0.25">
      <c r="N35" s="60" t="s">
        <v>31</v>
      </c>
      <c r="O35" s="63">
        <v>7.2</v>
      </c>
      <c r="P35" s="63">
        <v>6.85</v>
      </c>
      <c r="Q35" s="63">
        <v>8.16</v>
      </c>
      <c r="R35" s="63">
        <v>7.68</v>
      </c>
      <c r="S35" s="63">
        <v>6.65</v>
      </c>
      <c r="T35" s="63">
        <v>5.53</v>
      </c>
      <c r="U35" s="63">
        <v>5.2</v>
      </c>
      <c r="V35" s="63">
        <v>4.5199999999999996</v>
      </c>
      <c r="W35" s="63">
        <v>5.04</v>
      </c>
      <c r="X35" s="63">
        <v>5.66</v>
      </c>
      <c r="Y35" s="64">
        <v>5.63</v>
      </c>
      <c r="AA35" s="60" t="s">
        <v>31</v>
      </c>
      <c r="AB35" s="63">
        <v>509.33</v>
      </c>
      <c r="AC35" s="63">
        <v>466.88</v>
      </c>
      <c r="AD35" s="63">
        <v>479.03</v>
      </c>
      <c r="AE35" s="63">
        <v>492.65</v>
      </c>
      <c r="AF35" s="63">
        <v>415.87</v>
      </c>
      <c r="AG35" s="63">
        <v>366.06</v>
      </c>
      <c r="AH35" s="63">
        <v>331.94</v>
      </c>
      <c r="AI35" s="63">
        <v>283.24</v>
      </c>
      <c r="AJ35" s="63">
        <v>253.28</v>
      </c>
      <c r="AK35" s="63">
        <v>221.86</v>
      </c>
      <c r="AL35" s="64">
        <v>221.86</v>
      </c>
    </row>
    <row r="36" spans="14:38" ht="11.45" customHeight="1" x14ac:dyDescent="0.25">
      <c r="N36" s="53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1"/>
      <c r="AA36" s="53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1"/>
    </row>
    <row r="37" spans="14:38" ht="11.45" customHeight="1" x14ac:dyDescent="0.25">
      <c r="N37" s="54" t="s">
        <v>32</v>
      </c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1"/>
      <c r="AA37" s="54" t="s">
        <v>32</v>
      </c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1"/>
    </row>
    <row r="38" spans="14:38" ht="11.45" customHeight="1" thickBot="1" x14ac:dyDescent="0.3">
      <c r="N38" s="65" t="s">
        <v>33</v>
      </c>
      <c r="O38" s="66" t="s">
        <v>34</v>
      </c>
      <c r="P38" s="67"/>
      <c r="Q38" s="67"/>
      <c r="R38" s="67"/>
      <c r="S38" s="67"/>
      <c r="T38" s="67"/>
      <c r="U38" s="67"/>
      <c r="V38" s="67"/>
      <c r="W38" s="67"/>
      <c r="X38" s="67"/>
      <c r="Y38" s="68"/>
      <c r="AA38" s="65" t="s">
        <v>33</v>
      </c>
      <c r="AB38" s="66" t="s">
        <v>34</v>
      </c>
      <c r="AC38" s="67"/>
      <c r="AD38" s="67"/>
      <c r="AE38" s="67"/>
      <c r="AF38" s="67"/>
      <c r="AG38" s="67"/>
      <c r="AH38" s="67"/>
      <c r="AI38" s="67"/>
      <c r="AJ38" s="67"/>
      <c r="AK38" s="67"/>
      <c r="AL38" s="68"/>
    </row>
    <row r="39" spans="14:38" ht="11.45" customHeight="1" x14ac:dyDescent="0.25">
      <c r="N39" s="13" t="s">
        <v>49</v>
      </c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7"/>
      <c r="AA39" s="13" t="s">
        <v>49</v>
      </c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7"/>
    </row>
    <row r="40" spans="14:38" ht="11.45" customHeight="1" x14ac:dyDescent="0.25">
      <c r="N40" s="48" t="s">
        <v>1</v>
      </c>
      <c r="O40" s="49" t="s">
        <v>50</v>
      </c>
      <c r="P40" s="50"/>
      <c r="Q40" s="50"/>
      <c r="R40" s="50"/>
      <c r="S40" s="50"/>
      <c r="T40" s="50"/>
      <c r="U40" s="50"/>
      <c r="V40" s="50"/>
      <c r="W40" s="50"/>
      <c r="X40" s="50"/>
      <c r="Y40" s="51"/>
      <c r="AA40" s="48" t="s">
        <v>1</v>
      </c>
      <c r="AB40" s="49" t="s">
        <v>50</v>
      </c>
      <c r="AC40" s="50"/>
      <c r="AD40" s="50"/>
      <c r="AE40" s="50"/>
      <c r="AF40" s="50"/>
      <c r="AG40" s="50"/>
      <c r="AH40" s="50"/>
      <c r="AI40" s="50"/>
      <c r="AJ40" s="50"/>
      <c r="AK40" s="50"/>
      <c r="AL40" s="51"/>
    </row>
    <row r="41" spans="14:38" ht="11.45" customHeight="1" x14ac:dyDescent="0.25">
      <c r="N41" s="48" t="s">
        <v>2</v>
      </c>
      <c r="O41" s="52" t="s">
        <v>51</v>
      </c>
      <c r="P41" s="50"/>
      <c r="Q41" s="50"/>
      <c r="R41" s="50"/>
      <c r="S41" s="50"/>
      <c r="T41" s="50"/>
      <c r="U41" s="50"/>
      <c r="V41" s="50"/>
      <c r="W41" s="50"/>
      <c r="X41" s="50"/>
      <c r="Y41" s="51"/>
      <c r="AA41" s="48" t="s">
        <v>2</v>
      </c>
      <c r="AB41" s="52" t="s">
        <v>51</v>
      </c>
      <c r="AC41" s="50"/>
      <c r="AD41" s="50"/>
      <c r="AE41" s="50"/>
      <c r="AF41" s="50"/>
      <c r="AG41" s="50"/>
      <c r="AH41" s="50"/>
      <c r="AI41" s="50"/>
      <c r="AJ41" s="50"/>
      <c r="AK41" s="50"/>
      <c r="AL41" s="51"/>
    </row>
    <row r="42" spans="14:38" ht="11.45" customHeight="1" x14ac:dyDescent="0.25">
      <c r="N42" s="53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1"/>
      <c r="AA42" s="53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1"/>
    </row>
    <row r="43" spans="14:38" ht="11.45" customHeight="1" x14ac:dyDescent="0.25">
      <c r="N43" s="54" t="s">
        <v>4</v>
      </c>
      <c r="O43" s="50"/>
      <c r="P43" s="52" t="s">
        <v>5</v>
      </c>
      <c r="Q43" s="50"/>
      <c r="R43" s="50"/>
      <c r="S43" s="50"/>
      <c r="T43" s="50"/>
      <c r="U43" s="50"/>
      <c r="V43" s="50"/>
      <c r="W43" s="50"/>
      <c r="X43" s="50"/>
      <c r="Y43" s="51"/>
      <c r="AA43" s="54" t="s">
        <v>4</v>
      </c>
      <c r="AB43" s="50"/>
      <c r="AC43" s="52" t="s">
        <v>5</v>
      </c>
      <c r="AD43" s="50"/>
      <c r="AE43" s="50"/>
      <c r="AF43" s="50"/>
      <c r="AG43" s="50"/>
      <c r="AH43" s="50"/>
      <c r="AI43" s="50"/>
      <c r="AJ43" s="50"/>
      <c r="AK43" s="50"/>
      <c r="AL43" s="51"/>
    </row>
    <row r="44" spans="14:38" ht="11.45" customHeight="1" x14ac:dyDescent="0.25">
      <c r="N44" s="54" t="s">
        <v>52</v>
      </c>
      <c r="O44" s="50"/>
      <c r="P44" s="52" t="s">
        <v>55</v>
      </c>
      <c r="Q44" s="50"/>
      <c r="R44" s="50"/>
      <c r="S44" s="50"/>
      <c r="T44" s="50"/>
      <c r="U44" s="50"/>
      <c r="V44" s="50"/>
      <c r="W44" s="50"/>
      <c r="X44" s="50"/>
      <c r="Y44" s="51"/>
      <c r="AA44" s="54" t="s">
        <v>52</v>
      </c>
      <c r="AB44" s="50"/>
      <c r="AC44" s="52" t="s">
        <v>60</v>
      </c>
      <c r="AD44" s="50"/>
      <c r="AE44" s="50"/>
      <c r="AF44" s="50"/>
      <c r="AG44" s="50"/>
      <c r="AH44" s="50"/>
      <c r="AI44" s="50"/>
      <c r="AJ44" s="50"/>
      <c r="AK44" s="50"/>
      <c r="AL44" s="51"/>
    </row>
    <row r="45" spans="14:38" ht="11.45" customHeight="1" x14ac:dyDescent="0.25">
      <c r="N45" s="54" t="s">
        <v>8</v>
      </c>
      <c r="O45" s="50"/>
      <c r="P45" s="52" t="s">
        <v>40</v>
      </c>
      <c r="Q45" s="50"/>
      <c r="R45" s="50"/>
      <c r="S45" s="50"/>
      <c r="T45" s="50"/>
      <c r="U45" s="50"/>
      <c r="V45" s="50"/>
      <c r="W45" s="50"/>
      <c r="X45" s="50"/>
      <c r="Y45" s="51"/>
      <c r="AA45" s="54" t="s">
        <v>8</v>
      </c>
      <c r="AB45" s="50"/>
      <c r="AC45" s="52" t="s">
        <v>40</v>
      </c>
      <c r="AD45" s="50"/>
      <c r="AE45" s="50"/>
      <c r="AF45" s="50"/>
      <c r="AG45" s="50"/>
      <c r="AH45" s="50"/>
      <c r="AI45" s="50"/>
      <c r="AJ45" s="50"/>
      <c r="AK45" s="50"/>
      <c r="AL45" s="51"/>
    </row>
    <row r="46" spans="14:38" ht="11.45" customHeight="1" x14ac:dyDescent="0.25">
      <c r="N46" s="53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1"/>
      <c r="AA46" s="53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1"/>
    </row>
    <row r="47" spans="14:38" ht="11.45" customHeight="1" x14ac:dyDescent="0.25">
      <c r="N47" s="55" t="s">
        <v>12</v>
      </c>
      <c r="O47" s="37" t="s">
        <v>13</v>
      </c>
      <c r="P47" s="37" t="s">
        <v>14</v>
      </c>
      <c r="Q47" s="37" t="s">
        <v>15</v>
      </c>
      <c r="R47" s="37" t="s">
        <v>16</v>
      </c>
      <c r="S47" s="37" t="s">
        <v>17</v>
      </c>
      <c r="T47" s="37" t="s">
        <v>18</v>
      </c>
      <c r="U47" s="37" t="s">
        <v>19</v>
      </c>
      <c r="V47" s="37" t="s">
        <v>20</v>
      </c>
      <c r="W47" s="37" t="s">
        <v>21</v>
      </c>
      <c r="X47" s="37" t="s">
        <v>22</v>
      </c>
      <c r="Y47" s="56" t="s">
        <v>23</v>
      </c>
      <c r="AA47" s="55" t="s">
        <v>12</v>
      </c>
      <c r="AB47" s="37" t="s">
        <v>13</v>
      </c>
      <c r="AC47" s="37" t="s">
        <v>14</v>
      </c>
      <c r="AD47" s="37" t="s">
        <v>15</v>
      </c>
      <c r="AE47" s="37" t="s">
        <v>16</v>
      </c>
      <c r="AF47" s="37" t="s">
        <v>17</v>
      </c>
      <c r="AG47" s="37" t="s">
        <v>18</v>
      </c>
      <c r="AH47" s="37" t="s">
        <v>19</v>
      </c>
      <c r="AI47" s="37" t="s">
        <v>20</v>
      </c>
      <c r="AJ47" s="37" t="s">
        <v>21</v>
      </c>
      <c r="AK47" s="37" t="s">
        <v>22</v>
      </c>
      <c r="AL47" s="56" t="s">
        <v>23</v>
      </c>
    </row>
    <row r="48" spans="14:38" ht="11.45" customHeight="1" x14ac:dyDescent="0.25">
      <c r="N48" s="57" t="s">
        <v>24</v>
      </c>
      <c r="O48" s="58" t="s">
        <v>25</v>
      </c>
      <c r="P48" s="58" t="s">
        <v>25</v>
      </c>
      <c r="Q48" s="58" t="s">
        <v>25</v>
      </c>
      <c r="R48" s="58" t="s">
        <v>25</v>
      </c>
      <c r="S48" s="58" t="s">
        <v>25</v>
      </c>
      <c r="T48" s="58" t="s">
        <v>25</v>
      </c>
      <c r="U48" s="58" t="s">
        <v>25</v>
      </c>
      <c r="V48" s="58" t="s">
        <v>25</v>
      </c>
      <c r="W48" s="58" t="s">
        <v>25</v>
      </c>
      <c r="X48" s="58" t="s">
        <v>25</v>
      </c>
      <c r="Y48" s="59" t="s">
        <v>25</v>
      </c>
      <c r="AA48" s="57" t="s">
        <v>24</v>
      </c>
      <c r="AB48" s="58" t="s">
        <v>25</v>
      </c>
      <c r="AC48" s="58" t="s">
        <v>25</v>
      </c>
      <c r="AD48" s="58" t="s">
        <v>25</v>
      </c>
      <c r="AE48" s="58" t="s">
        <v>25</v>
      </c>
      <c r="AF48" s="58" t="s">
        <v>25</v>
      </c>
      <c r="AG48" s="58" t="s">
        <v>25</v>
      </c>
      <c r="AH48" s="58" t="s">
        <v>25</v>
      </c>
      <c r="AI48" s="58" t="s">
        <v>25</v>
      </c>
      <c r="AJ48" s="58" t="s">
        <v>25</v>
      </c>
      <c r="AK48" s="58" t="s">
        <v>25</v>
      </c>
      <c r="AL48" s="59" t="s">
        <v>25</v>
      </c>
    </row>
    <row r="49" spans="14:38" ht="11.45" customHeight="1" x14ac:dyDescent="0.25">
      <c r="N49" s="60" t="s">
        <v>26</v>
      </c>
      <c r="O49" s="61">
        <v>2.2599999999999998</v>
      </c>
      <c r="P49" s="61">
        <v>6.25</v>
      </c>
      <c r="Q49" s="61">
        <v>5.99</v>
      </c>
      <c r="R49" s="61">
        <v>6.14</v>
      </c>
      <c r="S49" s="61">
        <v>6.45</v>
      </c>
      <c r="T49" s="61">
        <v>6.12</v>
      </c>
      <c r="U49" s="61">
        <v>6.18</v>
      </c>
      <c r="V49" s="61">
        <v>5.87</v>
      </c>
      <c r="W49" s="61">
        <v>5.79</v>
      </c>
      <c r="X49" s="61">
        <v>5.6</v>
      </c>
      <c r="Y49" s="62">
        <v>5.51</v>
      </c>
      <c r="AA49" s="60" t="s">
        <v>26</v>
      </c>
      <c r="AB49" s="61">
        <v>2496.92</v>
      </c>
      <c r="AC49" s="61">
        <v>1595.91</v>
      </c>
      <c r="AD49" s="61">
        <v>1491.38</v>
      </c>
      <c r="AE49" s="61">
        <v>1590.67</v>
      </c>
      <c r="AF49" s="71">
        <v>1578</v>
      </c>
      <c r="AG49" s="61">
        <v>1600.86</v>
      </c>
      <c r="AH49" s="61">
        <v>1636.98</v>
      </c>
      <c r="AI49" s="61">
        <v>1661.33</v>
      </c>
      <c r="AJ49" s="61">
        <v>1570.39</v>
      </c>
      <c r="AK49" s="61">
        <v>1401.36</v>
      </c>
      <c r="AL49" s="62">
        <v>1307.46</v>
      </c>
    </row>
    <row r="50" spans="14:38" ht="11.45" customHeight="1" x14ac:dyDescent="0.25">
      <c r="N50" s="60" t="s">
        <v>27</v>
      </c>
      <c r="O50" s="63">
        <v>0.27</v>
      </c>
      <c r="P50" s="63">
        <v>0.14000000000000001</v>
      </c>
      <c r="Q50" s="63">
        <v>1.56</v>
      </c>
      <c r="R50" s="63">
        <v>1.42</v>
      </c>
      <c r="S50" s="63">
        <v>1.25</v>
      </c>
      <c r="T50" s="63">
        <v>0.86</v>
      </c>
      <c r="U50" s="63">
        <v>0.53</v>
      </c>
      <c r="V50" s="63">
        <v>0.82</v>
      </c>
      <c r="W50" s="63">
        <v>0.56999999999999995</v>
      </c>
      <c r="X50" s="63">
        <v>0.72</v>
      </c>
      <c r="Y50" s="64">
        <v>0.69</v>
      </c>
      <c r="AA50" s="60" t="s">
        <v>27</v>
      </c>
      <c r="AB50" s="63">
        <v>487.55</v>
      </c>
      <c r="AC50" s="63">
        <v>543.04</v>
      </c>
      <c r="AD50" s="63">
        <v>606.57000000000005</v>
      </c>
      <c r="AE50" s="63">
        <v>633.95000000000005</v>
      </c>
      <c r="AF50" s="63">
        <v>563.28</v>
      </c>
      <c r="AG50" s="63">
        <v>489.02</v>
      </c>
      <c r="AH50" s="63">
        <v>464.09</v>
      </c>
      <c r="AI50" s="63">
        <v>507.93</v>
      </c>
      <c r="AJ50" s="63">
        <v>530.04</v>
      </c>
      <c r="AK50" s="63">
        <v>630.09</v>
      </c>
      <c r="AL50" s="64">
        <v>542.73</v>
      </c>
    </row>
    <row r="51" spans="14:38" ht="11.45" customHeight="1" x14ac:dyDescent="0.25">
      <c r="N51" s="60" t="s">
        <v>28</v>
      </c>
      <c r="O51" s="61">
        <v>0.52</v>
      </c>
      <c r="P51" s="61">
        <v>0.37</v>
      </c>
      <c r="Q51" s="61">
        <v>0.27</v>
      </c>
      <c r="R51" s="61">
        <v>0.24</v>
      </c>
      <c r="S51" s="61">
        <v>0.25</v>
      </c>
      <c r="T51" s="61">
        <v>0.26</v>
      </c>
      <c r="U51" s="61">
        <v>0.21</v>
      </c>
      <c r="V51" s="61">
        <v>0.2</v>
      </c>
      <c r="W51" s="61">
        <v>0.2</v>
      </c>
      <c r="X51" s="61">
        <v>0.15</v>
      </c>
      <c r="Y51" s="62">
        <v>0.17</v>
      </c>
      <c r="AA51" s="60" t="s">
        <v>28</v>
      </c>
      <c r="AB51" s="61">
        <v>520.1</v>
      </c>
      <c r="AC51" s="61">
        <v>470.7</v>
      </c>
      <c r="AD51" s="61">
        <v>311.10000000000002</v>
      </c>
      <c r="AE51" s="61">
        <v>332.4</v>
      </c>
      <c r="AF51" s="61">
        <v>353.06</v>
      </c>
      <c r="AG51" s="61">
        <v>349.82</v>
      </c>
      <c r="AH51" s="61">
        <v>333.79</v>
      </c>
      <c r="AI51" s="61">
        <v>442.96</v>
      </c>
      <c r="AJ51" s="61">
        <v>351.16</v>
      </c>
      <c r="AK51" s="61">
        <v>349.09</v>
      </c>
      <c r="AL51" s="62">
        <v>360.5</v>
      </c>
    </row>
    <row r="52" spans="14:38" ht="11.45" customHeight="1" x14ac:dyDescent="0.25">
      <c r="N52" s="60" t="s">
        <v>29</v>
      </c>
      <c r="O52" s="63">
        <v>3.24</v>
      </c>
      <c r="P52" s="63">
        <v>3.24</v>
      </c>
      <c r="Q52" s="63">
        <v>3.24</v>
      </c>
      <c r="R52" s="63">
        <v>3.44</v>
      </c>
      <c r="S52" s="63">
        <v>3.24</v>
      </c>
      <c r="T52" s="63">
        <v>3.45</v>
      </c>
      <c r="U52" s="63">
        <v>4.4800000000000004</v>
      </c>
      <c r="V52" s="63">
        <v>5.74</v>
      </c>
      <c r="W52" s="63">
        <v>5.72</v>
      </c>
      <c r="X52" s="69" t="s">
        <v>33</v>
      </c>
      <c r="Y52" s="70" t="s">
        <v>33</v>
      </c>
      <c r="AA52" s="60" t="s">
        <v>29</v>
      </c>
      <c r="AB52" s="63">
        <v>1503.87</v>
      </c>
      <c r="AC52" s="63">
        <v>2149.6799999999998</v>
      </c>
      <c r="AD52" s="63">
        <v>1813.45</v>
      </c>
      <c r="AE52" s="63">
        <v>1791.04</v>
      </c>
      <c r="AF52" s="63">
        <v>1798.31</v>
      </c>
      <c r="AG52" s="63">
        <v>2118.89</v>
      </c>
      <c r="AH52" s="63">
        <v>2167.66</v>
      </c>
      <c r="AI52" s="63">
        <v>2101.67</v>
      </c>
      <c r="AJ52" s="63">
        <v>2069.2399999999998</v>
      </c>
      <c r="AK52" s="69" t="s">
        <v>33</v>
      </c>
      <c r="AL52" s="70" t="s">
        <v>33</v>
      </c>
    </row>
    <row r="53" spans="14:38" ht="11.45" customHeight="1" x14ac:dyDescent="0.25">
      <c r="N53" s="60" t="s">
        <v>30</v>
      </c>
      <c r="O53" s="61">
        <v>0.13</v>
      </c>
      <c r="P53" s="61">
        <v>0.06</v>
      </c>
      <c r="Q53" s="61">
        <v>0.11</v>
      </c>
      <c r="R53" s="61">
        <v>0.06</v>
      </c>
      <c r="S53" s="61">
        <v>0.13</v>
      </c>
      <c r="T53" s="61">
        <v>0.05</v>
      </c>
      <c r="U53" s="61">
        <v>0.01</v>
      </c>
      <c r="V53" s="61">
        <v>0.03</v>
      </c>
      <c r="W53" s="61">
        <v>0.02</v>
      </c>
      <c r="X53" s="61">
        <v>0.03</v>
      </c>
      <c r="Y53" s="62">
        <v>0.06</v>
      </c>
      <c r="AA53" s="60" t="s">
        <v>30</v>
      </c>
      <c r="AB53" s="61">
        <v>2094.4699999999998</v>
      </c>
      <c r="AC53" s="61">
        <v>2047.79</v>
      </c>
      <c r="AD53" s="61">
        <v>1804.77</v>
      </c>
      <c r="AE53" s="61">
        <v>1723.26</v>
      </c>
      <c r="AF53" s="61">
        <v>1742.6</v>
      </c>
      <c r="AG53" s="61">
        <v>1822.11</v>
      </c>
      <c r="AH53" s="61">
        <v>1742.86</v>
      </c>
      <c r="AI53" s="61">
        <v>1635.37</v>
      </c>
      <c r="AJ53" s="61">
        <v>1651.67</v>
      </c>
      <c r="AK53" s="61">
        <v>1429.13</v>
      </c>
      <c r="AL53" s="62">
        <v>1276.46</v>
      </c>
    </row>
    <row r="54" spans="14:38" ht="11.45" customHeight="1" x14ac:dyDescent="0.25">
      <c r="N54" s="60" t="s">
        <v>31</v>
      </c>
      <c r="O54" s="63">
        <v>4.66</v>
      </c>
      <c r="P54" s="63">
        <v>5.0999999999999996</v>
      </c>
      <c r="Q54" s="63">
        <v>4.74</v>
      </c>
      <c r="R54" s="63">
        <v>4.8</v>
      </c>
      <c r="S54" s="63">
        <v>3.97</v>
      </c>
      <c r="T54" s="63">
        <v>4.12</v>
      </c>
      <c r="U54" s="63">
        <v>3.61</v>
      </c>
      <c r="V54" s="63">
        <v>3.56</v>
      </c>
      <c r="W54" s="63">
        <v>2.86</v>
      </c>
      <c r="X54" s="63">
        <v>2.83</v>
      </c>
      <c r="Y54" s="64">
        <v>2.65</v>
      </c>
      <c r="AA54" s="60" t="s">
        <v>31</v>
      </c>
      <c r="AB54" s="63">
        <v>1202.99</v>
      </c>
      <c r="AC54" s="63">
        <v>1147.3900000000001</v>
      </c>
      <c r="AD54" s="63">
        <v>899.08</v>
      </c>
      <c r="AE54" s="63">
        <v>930.68</v>
      </c>
      <c r="AF54" s="63">
        <v>970.09</v>
      </c>
      <c r="AG54" s="63">
        <v>904.92</v>
      </c>
      <c r="AH54" s="63">
        <v>873.1</v>
      </c>
      <c r="AI54" s="63">
        <v>948.78</v>
      </c>
      <c r="AJ54" s="63">
        <v>863.57</v>
      </c>
      <c r="AK54" s="63">
        <v>858.82</v>
      </c>
      <c r="AL54" s="64">
        <v>850.93</v>
      </c>
    </row>
    <row r="55" spans="14:38" ht="11.45" customHeight="1" x14ac:dyDescent="0.25">
      <c r="N55" s="53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1"/>
      <c r="AA55" s="53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1"/>
    </row>
    <row r="56" spans="14:38" ht="11.45" customHeight="1" x14ac:dyDescent="0.25">
      <c r="N56" s="54" t="s">
        <v>32</v>
      </c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1"/>
      <c r="AA56" s="54" t="s">
        <v>32</v>
      </c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1"/>
    </row>
    <row r="57" spans="14:38" ht="11.45" customHeight="1" thickBot="1" x14ac:dyDescent="0.3">
      <c r="N57" s="65" t="s">
        <v>33</v>
      </c>
      <c r="O57" s="66" t="s">
        <v>34</v>
      </c>
      <c r="P57" s="67"/>
      <c r="Q57" s="67"/>
      <c r="R57" s="67"/>
      <c r="S57" s="67"/>
      <c r="T57" s="67"/>
      <c r="U57" s="67"/>
      <c r="V57" s="67"/>
      <c r="W57" s="67"/>
      <c r="X57" s="67"/>
      <c r="Y57" s="68"/>
      <c r="AA57" s="65" t="s">
        <v>33</v>
      </c>
      <c r="AB57" s="66" t="s">
        <v>34</v>
      </c>
      <c r="AC57" s="67"/>
      <c r="AD57" s="67"/>
      <c r="AE57" s="67"/>
      <c r="AF57" s="67"/>
      <c r="AG57" s="67"/>
      <c r="AH57" s="67"/>
      <c r="AI57" s="67"/>
      <c r="AJ57" s="67"/>
      <c r="AK57" s="67"/>
      <c r="AL57" s="68"/>
    </row>
    <row r="58" spans="14:38" ht="11.45" customHeight="1" x14ac:dyDescent="0.25">
      <c r="N58" s="13" t="s">
        <v>49</v>
      </c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7"/>
      <c r="AA58" s="13" t="s">
        <v>49</v>
      </c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7"/>
    </row>
    <row r="59" spans="14:38" ht="11.45" customHeight="1" x14ac:dyDescent="0.25">
      <c r="N59" s="48" t="s">
        <v>1</v>
      </c>
      <c r="O59" s="49" t="s">
        <v>50</v>
      </c>
      <c r="P59" s="50"/>
      <c r="Q59" s="50"/>
      <c r="R59" s="50"/>
      <c r="S59" s="50"/>
      <c r="T59" s="50"/>
      <c r="U59" s="50"/>
      <c r="V59" s="50"/>
      <c r="W59" s="50"/>
      <c r="X59" s="50"/>
      <c r="Y59" s="51"/>
      <c r="AA59" s="48" t="s">
        <v>1</v>
      </c>
      <c r="AB59" s="49" t="s">
        <v>50</v>
      </c>
      <c r="AC59" s="50"/>
      <c r="AD59" s="50"/>
      <c r="AE59" s="50"/>
      <c r="AF59" s="50"/>
      <c r="AG59" s="50"/>
      <c r="AH59" s="50"/>
      <c r="AI59" s="50"/>
      <c r="AJ59" s="50"/>
      <c r="AK59" s="50"/>
      <c r="AL59" s="51"/>
    </row>
    <row r="60" spans="14:38" ht="11.45" customHeight="1" x14ac:dyDescent="0.25">
      <c r="N60" s="48" t="s">
        <v>2</v>
      </c>
      <c r="O60" s="52" t="s">
        <v>51</v>
      </c>
      <c r="P60" s="50"/>
      <c r="Q60" s="50"/>
      <c r="R60" s="50"/>
      <c r="S60" s="50"/>
      <c r="T60" s="50"/>
      <c r="U60" s="50"/>
      <c r="V60" s="50"/>
      <c r="W60" s="50"/>
      <c r="X60" s="50"/>
      <c r="Y60" s="51"/>
      <c r="AA60" s="48" t="s">
        <v>2</v>
      </c>
      <c r="AB60" s="52" t="s">
        <v>51</v>
      </c>
      <c r="AC60" s="50"/>
      <c r="AD60" s="50"/>
      <c r="AE60" s="50"/>
      <c r="AF60" s="50"/>
      <c r="AG60" s="50"/>
      <c r="AH60" s="50"/>
      <c r="AI60" s="50"/>
      <c r="AJ60" s="50"/>
      <c r="AK60" s="50"/>
      <c r="AL60" s="51"/>
    </row>
    <row r="61" spans="14:38" ht="11.45" customHeight="1" x14ac:dyDescent="0.25">
      <c r="N61" s="53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1"/>
      <c r="AA61" s="53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1"/>
    </row>
    <row r="62" spans="14:38" ht="11.45" customHeight="1" x14ac:dyDescent="0.25">
      <c r="N62" s="54" t="s">
        <v>4</v>
      </c>
      <c r="O62" s="50"/>
      <c r="P62" s="52" t="s">
        <v>5</v>
      </c>
      <c r="Q62" s="50"/>
      <c r="R62" s="50"/>
      <c r="S62" s="50"/>
      <c r="T62" s="50"/>
      <c r="U62" s="50"/>
      <c r="V62" s="50"/>
      <c r="W62" s="50"/>
      <c r="X62" s="50"/>
      <c r="Y62" s="51"/>
      <c r="AA62" s="54" t="s">
        <v>4</v>
      </c>
      <c r="AB62" s="50"/>
      <c r="AC62" s="52" t="s">
        <v>5</v>
      </c>
      <c r="AD62" s="50"/>
      <c r="AE62" s="50"/>
      <c r="AF62" s="50"/>
      <c r="AG62" s="50"/>
      <c r="AH62" s="50"/>
      <c r="AI62" s="50"/>
      <c r="AJ62" s="50"/>
      <c r="AK62" s="50"/>
      <c r="AL62" s="51"/>
    </row>
    <row r="63" spans="14:38" ht="11.45" customHeight="1" x14ac:dyDescent="0.25">
      <c r="N63" s="54" t="s">
        <v>52</v>
      </c>
      <c r="O63" s="50"/>
      <c r="P63" s="52" t="s">
        <v>58</v>
      </c>
      <c r="Q63" s="50"/>
      <c r="R63" s="50"/>
      <c r="S63" s="50"/>
      <c r="T63" s="50"/>
      <c r="U63" s="50"/>
      <c r="V63" s="50"/>
      <c r="W63" s="50"/>
      <c r="X63" s="50"/>
      <c r="Y63" s="51"/>
      <c r="AA63" s="54" t="s">
        <v>52</v>
      </c>
      <c r="AB63" s="50"/>
      <c r="AC63" s="52" t="s">
        <v>61</v>
      </c>
      <c r="AD63" s="50"/>
      <c r="AE63" s="50"/>
      <c r="AF63" s="50"/>
      <c r="AG63" s="50"/>
      <c r="AH63" s="50"/>
      <c r="AI63" s="50"/>
      <c r="AJ63" s="50"/>
      <c r="AK63" s="50"/>
      <c r="AL63" s="51"/>
    </row>
    <row r="64" spans="14:38" ht="11.45" customHeight="1" x14ac:dyDescent="0.25">
      <c r="N64" s="54" t="s">
        <v>8</v>
      </c>
      <c r="O64" s="50"/>
      <c r="P64" s="52" t="s">
        <v>40</v>
      </c>
      <c r="Q64" s="50"/>
      <c r="R64" s="50"/>
      <c r="S64" s="50"/>
      <c r="T64" s="50"/>
      <c r="U64" s="50"/>
      <c r="V64" s="50"/>
      <c r="W64" s="50"/>
      <c r="X64" s="50"/>
      <c r="Y64" s="51"/>
      <c r="AA64" s="54" t="s">
        <v>8</v>
      </c>
      <c r="AB64" s="50"/>
      <c r="AC64" s="52" t="s">
        <v>40</v>
      </c>
      <c r="AD64" s="50"/>
      <c r="AE64" s="50"/>
      <c r="AF64" s="50"/>
      <c r="AG64" s="50"/>
      <c r="AH64" s="50"/>
      <c r="AI64" s="50"/>
      <c r="AJ64" s="50"/>
      <c r="AK64" s="50"/>
      <c r="AL64" s="51"/>
    </row>
    <row r="65" spans="14:38" ht="11.45" customHeight="1" x14ac:dyDescent="0.25">
      <c r="N65" s="53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1"/>
      <c r="AA65" s="53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1"/>
    </row>
    <row r="66" spans="14:38" ht="11.45" customHeight="1" x14ac:dyDescent="0.25">
      <c r="N66" s="55" t="s">
        <v>12</v>
      </c>
      <c r="O66" s="37" t="s">
        <v>13</v>
      </c>
      <c r="P66" s="37" t="s">
        <v>14</v>
      </c>
      <c r="Q66" s="37" t="s">
        <v>15</v>
      </c>
      <c r="R66" s="37" t="s">
        <v>16</v>
      </c>
      <c r="S66" s="37" t="s">
        <v>17</v>
      </c>
      <c r="T66" s="37" t="s">
        <v>18</v>
      </c>
      <c r="U66" s="37" t="s">
        <v>19</v>
      </c>
      <c r="V66" s="37" t="s">
        <v>20</v>
      </c>
      <c r="W66" s="37" t="s">
        <v>21</v>
      </c>
      <c r="X66" s="37" t="s">
        <v>22</v>
      </c>
      <c r="Y66" s="56" t="s">
        <v>23</v>
      </c>
      <c r="AA66" s="55" t="s">
        <v>12</v>
      </c>
      <c r="AB66" s="37" t="s">
        <v>13</v>
      </c>
      <c r="AC66" s="37" t="s">
        <v>14</v>
      </c>
      <c r="AD66" s="37" t="s">
        <v>15</v>
      </c>
      <c r="AE66" s="37" t="s">
        <v>16</v>
      </c>
      <c r="AF66" s="37" t="s">
        <v>17</v>
      </c>
      <c r="AG66" s="37" t="s">
        <v>18</v>
      </c>
      <c r="AH66" s="37" t="s">
        <v>19</v>
      </c>
      <c r="AI66" s="37" t="s">
        <v>20</v>
      </c>
      <c r="AJ66" s="37" t="s">
        <v>21</v>
      </c>
      <c r="AK66" s="37" t="s">
        <v>22</v>
      </c>
      <c r="AL66" s="56" t="s">
        <v>23</v>
      </c>
    </row>
    <row r="67" spans="14:38" ht="11.45" customHeight="1" x14ac:dyDescent="0.25">
      <c r="N67" s="57" t="s">
        <v>24</v>
      </c>
      <c r="O67" s="58" t="s">
        <v>25</v>
      </c>
      <c r="P67" s="58" t="s">
        <v>25</v>
      </c>
      <c r="Q67" s="58" t="s">
        <v>25</v>
      </c>
      <c r="R67" s="58" t="s">
        <v>25</v>
      </c>
      <c r="S67" s="58" t="s">
        <v>25</v>
      </c>
      <c r="T67" s="58" t="s">
        <v>25</v>
      </c>
      <c r="U67" s="58" t="s">
        <v>25</v>
      </c>
      <c r="V67" s="58" t="s">
        <v>25</v>
      </c>
      <c r="W67" s="58" t="s">
        <v>25</v>
      </c>
      <c r="X67" s="58" t="s">
        <v>25</v>
      </c>
      <c r="Y67" s="59" t="s">
        <v>25</v>
      </c>
      <c r="AA67" s="57" t="s">
        <v>24</v>
      </c>
      <c r="AB67" s="58" t="s">
        <v>25</v>
      </c>
      <c r="AC67" s="58" t="s">
        <v>25</v>
      </c>
      <c r="AD67" s="58" t="s">
        <v>25</v>
      </c>
      <c r="AE67" s="58" t="s">
        <v>25</v>
      </c>
      <c r="AF67" s="58" t="s">
        <v>25</v>
      </c>
      <c r="AG67" s="58" t="s">
        <v>25</v>
      </c>
      <c r="AH67" s="58" t="s">
        <v>25</v>
      </c>
      <c r="AI67" s="58" t="s">
        <v>25</v>
      </c>
      <c r="AJ67" s="58" t="s">
        <v>25</v>
      </c>
      <c r="AK67" s="58" t="s">
        <v>25</v>
      </c>
      <c r="AL67" s="59" t="s">
        <v>25</v>
      </c>
    </row>
    <row r="68" spans="14:38" ht="11.45" customHeight="1" x14ac:dyDescent="0.25">
      <c r="N68" s="60" t="s">
        <v>26</v>
      </c>
      <c r="O68" s="61">
        <v>60.71</v>
      </c>
      <c r="P68" s="61">
        <v>60.14</v>
      </c>
      <c r="Q68" s="61">
        <v>58.88</v>
      </c>
      <c r="R68" s="61">
        <v>59.86</v>
      </c>
      <c r="S68" s="61">
        <v>60.64</v>
      </c>
      <c r="T68" s="61">
        <v>58.66</v>
      </c>
      <c r="U68" s="61">
        <v>56.3</v>
      </c>
      <c r="V68" s="61">
        <v>55.01</v>
      </c>
      <c r="W68" s="61">
        <v>52.34</v>
      </c>
      <c r="X68" s="61">
        <v>47.08</v>
      </c>
      <c r="Y68" s="62">
        <v>44.4</v>
      </c>
      <c r="AA68" s="60" t="s">
        <v>26</v>
      </c>
      <c r="AB68" s="61">
        <v>291.85000000000002</v>
      </c>
      <c r="AC68" s="61">
        <v>287.60000000000002</v>
      </c>
      <c r="AD68" s="61">
        <v>282.39</v>
      </c>
      <c r="AE68" s="61">
        <v>294.77</v>
      </c>
      <c r="AF68" s="61">
        <v>295.22000000000003</v>
      </c>
      <c r="AG68" s="61">
        <v>314.85000000000002</v>
      </c>
      <c r="AH68" s="61">
        <v>342.63</v>
      </c>
      <c r="AI68" s="61">
        <v>348.05</v>
      </c>
      <c r="AJ68" s="61">
        <v>368.23</v>
      </c>
      <c r="AK68" s="61">
        <v>400.6</v>
      </c>
      <c r="AL68" s="62">
        <v>423.54</v>
      </c>
    </row>
    <row r="69" spans="14:38" ht="11.45" customHeight="1" x14ac:dyDescent="0.25">
      <c r="N69" s="60" t="s">
        <v>27</v>
      </c>
      <c r="O69" s="63">
        <v>29.45</v>
      </c>
      <c r="P69" s="63">
        <v>42.5</v>
      </c>
      <c r="Q69" s="63">
        <v>54.67</v>
      </c>
      <c r="R69" s="63">
        <v>59.66</v>
      </c>
      <c r="S69" s="63">
        <v>54.05</v>
      </c>
      <c r="T69" s="63">
        <v>44.7</v>
      </c>
      <c r="U69" s="63">
        <v>34.78</v>
      </c>
      <c r="V69" s="63">
        <v>39.75</v>
      </c>
      <c r="W69" s="63">
        <v>43.94</v>
      </c>
      <c r="X69" s="63">
        <v>39.659999999999997</v>
      </c>
      <c r="Y69" s="64">
        <v>40.57</v>
      </c>
      <c r="AA69" s="60" t="s">
        <v>27</v>
      </c>
      <c r="AB69" s="63">
        <v>109.97</v>
      </c>
      <c r="AC69" s="63">
        <v>113.93</v>
      </c>
      <c r="AD69" s="63">
        <v>93.99</v>
      </c>
      <c r="AE69" s="63">
        <v>87.98</v>
      </c>
      <c r="AF69" s="63">
        <v>91.5</v>
      </c>
      <c r="AG69" s="63">
        <v>95.18</v>
      </c>
      <c r="AH69" s="63">
        <v>99.34</v>
      </c>
      <c r="AI69" s="63">
        <v>99.35</v>
      </c>
      <c r="AJ69" s="63">
        <v>102.8</v>
      </c>
      <c r="AK69" s="63">
        <v>118.82</v>
      </c>
      <c r="AL69" s="64">
        <v>125.95</v>
      </c>
    </row>
    <row r="70" spans="14:38" ht="11.45" customHeight="1" x14ac:dyDescent="0.25">
      <c r="N70" s="60" t="s">
        <v>28</v>
      </c>
      <c r="O70" s="61">
        <v>156.38999999999999</v>
      </c>
      <c r="P70" s="61">
        <v>140.91999999999999</v>
      </c>
      <c r="Q70" s="61">
        <v>181.58</v>
      </c>
      <c r="R70" s="61">
        <v>187.97</v>
      </c>
      <c r="S70" s="61">
        <v>206.34</v>
      </c>
      <c r="T70" s="61">
        <v>184.12</v>
      </c>
      <c r="U70" s="61">
        <v>152.34</v>
      </c>
      <c r="V70" s="61">
        <v>139.03</v>
      </c>
      <c r="W70" s="61">
        <v>135.56</v>
      </c>
      <c r="X70" s="61">
        <v>132.74</v>
      </c>
      <c r="Y70" s="62">
        <v>129.22999999999999</v>
      </c>
      <c r="AA70" s="60" t="s">
        <v>28</v>
      </c>
      <c r="AB70" s="61">
        <v>31.89</v>
      </c>
      <c r="AC70" s="61">
        <v>31.02</v>
      </c>
      <c r="AD70" s="61">
        <v>30.96</v>
      </c>
      <c r="AE70" s="61">
        <v>32.61</v>
      </c>
      <c r="AF70" s="61">
        <v>30.99</v>
      </c>
      <c r="AG70" s="61">
        <v>30.59</v>
      </c>
      <c r="AH70" s="61">
        <v>28.83</v>
      </c>
      <c r="AI70" s="61">
        <v>25.98</v>
      </c>
      <c r="AJ70" s="61">
        <v>26.8</v>
      </c>
      <c r="AK70" s="61">
        <v>27.85</v>
      </c>
      <c r="AL70" s="62">
        <v>30.29</v>
      </c>
    </row>
    <row r="71" spans="14:38" ht="11.45" customHeight="1" x14ac:dyDescent="0.25">
      <c r="N71" s="60" t="s">
        <v>29</v>
      </c>
      <c r="O71" s="63">
        <v>166.6</v>
      </c>
      <c r="P71" s="63">
        <v>175.24</v>
      </c>
      <c r="Q71" s="63">
        <v>187.19</v>
      </c>
      <c r="R71" s="63">
        <v>186.16</v>
      </c>
      <c r="S71" s="63">
        <v>189.67</v>
      </c>
      <c r="T71" s="63">
        <v>190.02</v>
      </c>
      <c r="U71" s="63">
        <v>173.02</v>
      </c>
      <c r="V71" s="63">
        <v>156.59</v>
      </c>
      <c r="W71" s="63">
        <v>156.72</v>
      </c>
      <c r="X71" s="63">
        <v>149.81</v>
      </c>
      <c r="Y71" s="70" t="s">
        <v>33</v>
      </c>
      <c r="AA71" s="60" t="s">
        <v>29</v>
      </c>
      <c r="AB71" s="63">
        <v>9.57</v>
      </c>
      <c r="AC71" s="63">
        <v>9.33</v>
      </c>
      <c r="AD71" s="63">
        <v>9.08</v>
      </c>
      <c r="AE71" s="63">
        <v>9.1199999999999992</v>
      </c>
      <c r="AF71" s="63">
        <v>9.0399999999999991</v>
      </c>
      <c r="AG71" s="63">
        <v>9.84</v>
      </c>
      <c r="AH71" s="63">
        <v>10.46</v>
      </c>
      <c r="AI71" s="63">
        <v>11.25</v>
      </c>
      <c r="AJ71" s="63">
        <v>336.4</v>
      </c>
      <c r="AK71" s="63">
        <v>344.93</v>
      </c>
      <c r="AL71" s="64">
        <v>345.07</v>
      </c>
    </row>
    <row r="72" spans="14:38" ht="11.45" customHeight="1" x14ac:dyDescent="0.25">
      <c r="N72" s="60" t="s">
        <v>30</v>
      </c>
      <c r="O72" s="61">
        <v>57.61</v>
      </c>
      <c r="P72" s="61">
        <v>54.91</v>
      </c>
      <c r="Q72" s="61">
        <v>51.61</v>
      </c>
      <c r="R72" s="61">
        <v>48.55</v>
      </c>
      <c r="S72" s="61">
        <v>48.67</v>
      </c>
      <c r="T72" s="61">
        <v>44.22</v>
      </c>
      <c r="U72" s="61">
        <v>40.92</v>
      </c>
      <c r="V72" s="61">
        <v>39.79</v>
      </c>
      <c r="W72" s="61">
        <v>35.659999999999997</v>
      </c>
      <c r="X72" s="61">
        <v>29.75</v>
      </c>
      <c r="Y72" s="62">
        <v>27.16</v>
      </c>
      <c r="AA72" s="60" t="s">
        <v>30</v>
      </c>
      <c r="AB72" s="61">
        <v>23.83</v>
      </c>
      <c r="AC72" s="61">
        <v>25.18</v>
      </c>
      <c r="AD72" s="61">
        <v>25.95</v>
      </c>
      <c r="AE72" s="61">
        <v>27.7</v>
      </c>
      <c r="AF72" s="61">
        <v>23.67</v>
      </c>
      <c r="AG72" s="61">
        <v>322.19</v>
      </c>
      <c r="AH72" s="61">
        <v>342.83</v>
      </c>
      <c r="AI72" s="61">
        <v>385.72</v>
      </c>
      <c r="AJ72" s="61">
        <v>416.97</v>
      </c>
      <c r="AK72" s="61">
        <v>485.7</v>
      </c>
      <c r="AL72" s="62">
        <v>465.23</v>
      </c>
    </row>
    <row r="73" spans="14:38" ht="11.45" customHeight="1" x14ac:dyDescent="0.25">
      <c r="N73" s="60" t="s">
        <v>31</v>
      </c>
      <c r="O73" s="63">
        <v>197.61</v>
      </c>
      <c r="P73" s="63">
        <v>193.81</v>
      </c>
      <c r="Q73" s="63">
        <v>193.33</v>
      </c>
      <c r="R73" s="63">
        <v>192.68</v>
      </c>
      <c r="S73" s="63">
        <v>175.61</v>
      </c>
      <c r="T73" s="63">
        <v>158.19</v>
      </c>
      <c r="U73" s="63">
        <v>149.55000000000001</v>
      </c>
      <c r="V73" s="63">
        <v>149.13</v>
      </c>
      <c r="W73" s="63">
        <v>128.74</v>
      </c>
      <c r="X73" s="63">
        <v>115.28</v>
      </c>
      <c r="Y73" s="64">
        <v>102.47</v>
      </c>
      <c r="AA73" s="60" t="s">
        <v>31</v>
      </c>
      <c r="AB73" s="63">
        <v>35.33</v>
      </c>
      <c r="AC73" s="63">
        <v>40.4</v>
      </c>
      <c r="AD73" s="63">
        <v>43.08</v>
      </c>
      <c r="AE73" s="63">
        <v>39.86</v>
      </c>
      <c r="AF73" s="63">
        <v>43.99</v>
      </c>
      <c r="AG73" s="63">
        <v>44.34</v>
      </c>
      <c r="AH73" s="63">
        <v>45.56</v>
      </c>
      <c r="AI73" s="63">
        <v>51.07</v>
      </c>
      <c r="AJ73" s="63">
        <v>55.56</v>
      </c>
      <c r="AK73" s="63">
        <v>62.86</v>
      </c>
      <c r="AL73" s="64">
        <v>63.55</v>
      </c>
    </row>
    <row r="74" spans="14:38" ht="11.45" customHeight="1" x14ac:dyDescent="0.25">
      <c r="N74" s="53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1"/>
      <c r="AA74" s="53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1"/>
    </row>
    <row r="75" spans="14:38" ht="11.45" customHeight="1" x14ac:dyDescent="0.25">
      <c r="N75" s="54" t="s">
        <v>32</v>
      </c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1"/>
      <c r="AA75" s="54" t="s">
        <v>32</v>
      </c>
      <c r="AB75" s="50"/>
      <c r="AC75" s="50"/>
      <c r="AD75" s="50"/>
      <c r="AE75" s="50"/>
      <c r="AF75" s="50"/>
      <c r="AG75" s="50"/>
      <c r="AH75" s="50"/>
      <c r="AI75" s="50"/>
      <c r="AJ75" s="50"/>
      <c r="AK75" s="50"/>
      <c r="AL75" s="51"/>
    </row>
    <row r="76" spans="14:38" ht="11.45" customHeight="1" thickBot="1" x14ac:dyDescent="0.3">
      <c r="N76" s="65" t="s">
        <v>33</v>
      </c>
      <c r="O76" s="66" t="s">
        <v>34</v>
      </c>
      <c r="P76" s="67"/>
      <c r="Q76" s="67"/>
      <c r="R76" s="67"/>
      <c r="S76" s="67"/>
      <c r="T76" s="67"/>
      <c r="U76" s="67"/>
      <c r="V76" s="67"/>
      <c r="W76" s="67"/>
      <c r="X76" s="67"/>
      <c r="Y76" s="68"/>
      <c r="AA76" s="65" t="s">
        <v>33</v>
      </c>
      <c r="AB76" s="66" t="s">
        <v>34</v>
      </c>
      <c r="AC76" s="67"/>
      <c r="AD76" s="67"/>
      <c r="AE76" s="67"/>
      <c r="AF76" s="67"/>
      <c r="AG76" s="67"/>
      <c r="AH76" s="67"/>
      <c r="AI76" s="67"/>
      <c r="AJ76" s="67"/>
      <c r="AK76" s="67"/>
      <c r="AL76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8C6E6-A815-4D85-8332-B4E22FCE90A0}">
  <sheetPr codeName="Feuil6"/>
  <dimension ref="A36:B43"/>
  <sheetViews>
    <sheetView tabSelected="1" zoomScale="70" zoomScaleNormal="70" workbookViewId="0">
      <selection activeCell="L54" sqref="L54"/>
    </sheetView>
  </sheetViews>
  <sheetFormatPr baseColWidth="10" defaultRowHeight="15" x14ac:dyDescent="0.25"/>
  <sheetData>
    <row r="36" spans="1:2" ht="21" x14ac:dyDescent="0.35">
      <c r="A36" s="73" t="s">
        <v>62</v>
      </c>
      <c r="B36" s="73" t="s">
        <v>63</v>
      </c>
    </row>
    <row r="43" spans="1:2" ht="21" x14ac:dyDescent="0.35">
      <c r="A43" s="74" t="s">
        <v>64</v>
      </c>
      <c r="B43" s="74" t="s">
        <v>65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_txc_chart">
                <anchor moveWithCells="1" sizeWithCells="1">
                  <from>
                    <xdr:col>6</xdr:col>
                    <xdr:colOff>438150</xdr:colOff>
                    <xdr:row>36</xdr:row>
                    <xdr:rowOff>123825</xdr:rowOff>
                  </from>
                  <to>
                    <xdr:col>8</xdr:col>
                    <xdr:colOff>314325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_txc_chart">
                <anchor moveWithCells="1" sizeWithCells="1">
                  <from>
                    <xdr:col>6</xdr:col>
                    <xdr:colOff>266700</xdr:colOff>
                    <xdr:row>43</xdr:row>
                    <xdr:rowOff>142875</xdr:rowOff>
                  </from>
                  <to>
                    <xdr:col>8</xdr:col>
                    <xdr:colOff>447675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reate_nbd_chart">
                <anchor moveWithCells="1" sizeWithCells="1">
                  <from>
                    <xdr:col>3</xdr:col>
                    <xdr:colOff>190500</xdr:colOff>
                    <xdr:row>36</xdr:row>
                    <xdr:rowOff>123825</xdr:rowOff>
                  </from>
                  <to>
                    <xdr:col>5</xdr:col>
                    <xdr:colOff>190500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create_gini_chart">
                <anchor moveWithCells="1" sizeWithCells="1">
                  <from>
                    <xdr:col>12</xdr:col>
                    <xdr:colOff>638175</xdr:colOff>
                    <xdr:row>36</xdr:row>
                    <xdr:rowOff>85725</xdr:rowOff>
                  </from>
                  <to>
                    <xdr:col>14</xdr:col>
                    <xdr:colOff>638175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create_pib_chart">
                <anchor moveWithCells="1" sizeWithCells="1">
                  <from>
                    <xdr:col>9</xdr:col>
                    <xdr:colOff>476250</xdr:colOff>
                    <xdr:row>36</xdr:row>
                    <xdr:rowOff>76200</xdr:rowOff>
                  </from>
                  <to>
                    <xdr:col>11</xdr:col>
                    <xdr:colOff>476250</xdr:colOff>
                    <xdr:row>39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Button 8">
              <controlPr defaultSize="0" print="0" autoFill="0" autoPict="0" macro="[0]!create_inf_chart">
                <anchor moveWithCells="1" sizeWithCells="1">
                  <from>
                    <xdr:col>0</xdr:col>
                    <xdr:colOff>276225</xdr:colOff>
                    <xdr:row>36</xdr:row>
                    <xdr:rowOff>161925</xdr:rowOff>
                  </from>
                  <to>
                    <xdr:col>2</xdr:col>
                    <xdr:colOff>276225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export_gini_chart">
                <anchor moveWithCells="1" sizeWithCells="1">
                  <from>
                    <xdr:col>12</xdr:col>
                    <xdr:colOff>561975</xdr:colOff>
                    <xdr:row>43</xdr:row>
                    <xdr:rowOff>161925</xdr:rowOff>
                  </from>
                  <to>
                    <xdr:col>14</xdr:col>
                    <xdr:colOff>742950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1" name="Button 10">
              <controlPr defaultSize="0" print="0" autoFill="0" autoPict="0" macro="[0]!export_nbd_chart">
                <anchor moveWithCells="1" sizeWithCells="1">
                  <from>
                    <xdr:col>3</xdr:col>
                    <xdr:colOff>95250</xdr:colOff>
                    <xdr:row>43</xdr:row>
                    <xdr:rowOff>133350</xdr:rowOff>
                  </from>
                  <to>
                    <xdr:col>5</xdr:col>
                    <xdr:colOff>276225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2" name="Button 11">
              <controlPr defaultSize="0" print="0" autoFill="0" autoPict="0" macro="[0]!export_pib_chart">
                <anchor moveWithCells="1" sizeWithCells="1">
                  <from>
                    <xdr:col>9</xdr:col>
                    <xdr:colOff>371475</xdr:colOff>
                    <xdr:row>43</xdr:row>
                    <xdr:rowOff>142875</xdr:rowOff>
                  </from>
                  <to>
                    <xdr:col>11</xdr:col>
                    <xdr:colOff>552450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3" name="Button 12">
              <controlPr defaultSize="0" print="0" autoFill="0" autoPict="0" macro="[0]!export_inf_chart">
                <anchor moveWithCells="1" sizeWithCells="1">
                  <from>
                    <xdr:col>0</xdr:col>
                    <xdr:colOff>200025</xdr:colOff>
                    <xdr:row>43</xdr:row>
                    <xdr:rowOff>114300</xdr:rowOff>
                  </from>
                  <to>
                    <xdr:col>2</xdr:col>
                    <xdr:colOff>381000</xdr:colOff>
                    <xdr:row>46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txc</vt:lpstr>
      <vt:lpstr>Nbd</vt:lpstr>
      <vt:lpstr>Gini</vt:lpstr>
      <vt:lpstr>PIB</vt:lpstr>
      <vt:lpstr>Inf</vt:lpstr>
      <vt:lpstr>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Luca Garic</cp:lastModifiedBy>
  <dcterms:created xsi:type="dcterms:W3CDTF">2020-11-21T08:39:57Z</dcterms:created>
  <dcterms:modified xsi:type="dcterms:W3CDTF">2020-11-23T12:35:42Z</dcterms:modified>
</cp:coreProperties>
</file>